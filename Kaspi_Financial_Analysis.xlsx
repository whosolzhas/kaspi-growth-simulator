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sulting\Kaspi Bank\"/>
    </mc:Choice>
  </mc:AlternateContent>
  <xr:revisionPtr revIDLastSave="0" documentId="13_ncr:1_{707EFB8C-8E75-4159-99A0-460817265065}" xr6:coauthVersionLast="47" xr6:coauthVersionMax="47" xr10:uidLastSave="{00000000-0000-0000-0000-000000000000}"/>
  <bookViews>
    <workbookView xWindow="-108" yWindow="-108" windowWidth="23256" windowHeight="13176" activeTab="1" xr2:uid="{74D3D57B-FAE8-45A6-AD25-DA4D42E998AB}"/>
  </bookViews>
  <sheets>
    <sheet name="Raw_Data" sheetId="1" r:id="rId1"/>
    <sheet name="Analysis" sheetId="2" r:id="rId2"/>
    <sheet name="Dashboard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4" i="2" l="1"/>
  <c r="E59" i="1"/>
  <c r="E57" i="1"/>
  <c r="E54" i="1"/>
  <c r="E55" i="1"/>
  <c r="E56" i="1"/>
  <c r="D60" i="1"/>
  <c r="D59" i="1"/>
  <c r="E58" i="1"/>
  <c r="D57" i="1"/>
  <c r="D56" i="1"/>
  <c r="D55" i="1"/>
  <c r="D54" i="1"/>
  <c r="K31" i="2"/>
  <c r="J36" i="2"/>
  <c r="K32" i="2"/>
  <c r="F102" i="2"/>
  <c r="K36" i="2" s="1"/>
  <c r="F101" i="2"/>
  <c r="K37" i="2" s="1"/>
  <c r="F90" i="2"/>
  <c r="F76" i="2"/>
  <c r="D95" i="2"/>
  <c r="E95" i="2"/>
  <c r="C95" i="2"/>
  <c r="E81" i="2"/>
  <c r="D81" i="2"/>
  <c r="C81" i="2"/>
  <c r="E80" i="2"/>
  <c r="E96" i="2" s="1"/>
  <c r="D80" i="2"/>
  <c r="C80" i="2"/>
  <c r="C96" i="2" s="1"/>
  <c r="E78" i="2"/>
  <c r="E93" i="2" s="1"/>
  <c r="D78" i="2"/>
  <c r="D93" i="2" s="1"/>
  <c r="C78" i="2"/>
  <c r="C93" i="2" s="1"/>
  <c r="D62" i="2"/>
  <c r="D61" i="2"/>
  <c r="D60" i="2"/>
  <c r="D55" i="2"/>
  <c r="F74" i="2" s="1"/>
  <c r="C55" i="2"/>
  <c r="D53" i="2"/>
  <c r="D54" i="2" s="1"/>
  <c r="F75" i="2" s="1"/>
  <c r="C53" i="2"/>
  <c r="C56" i="2" s="1"/>
  <c r="D51" i="2"/>
  <c r="E79" i="2" s="1"/>
  <c r="E94" i="2" s="1"/>
  <c r="C51" i="2"/>
  <c r="D49" i="2"/>
  <c r="D50" i="2" s="1"/>
  <c r="F71" i="2" s="1"/>
  <c r="C49" i="2"/>
  <c r="D48" i="2"/>
  <c r="C48" i="2"/>
  <c r="D47" i="2"/>
  <c r="F68" i="2" s="1"/>
  <c r="F78" i="2" s="1"/>
  <c r="F88" i="2" s="1"/>
  <c r="C47" i="2"/>
  <c r="D43" i="2"/>
  <c r="C31" i="2"/>
  <c r="D31" i="2"/>
  <c r="C32" i="2"/>
  <c r="D32" i="2"/>
  <c r="C33" i="2"/>
  <c r="D33" i="2"/>
  <c r="C36" i="2"/>
  <c r="D36" i="2"/>
  <c r="C38" i="2"/>
  <c r="D38" i="2"/>
  <c r="E17" i="1"/>
  <c r="J37" i="2"/>
  <c r="J35" i="2"/>
  <c r="D19" i="2"/>
  <c r="D28" i="2"/>
  <c r="C28" i="2"/>
  <c r="D26" i="2"/>
  <c r="C26" i="2"/>
  <c r="D25" i="2"/>
  <c r="C25" i="2"/>
  <c r="D24" i="2"/>
  <c r="C24" i="2"/>
  <c r="C23" i="2"/>
  <c r="D22" i="2"/>
  <c r="C22" i="2"/>
  <c r="C18" i="2"/>
  <c r="C27" i="2" s="1"/>
  <c r="C11" i="2"/>
  <c r="D12" i="2"/>
  <c r="D11" i="2"/>
  <c r="C12" i="2"/>
  <c r="C13" i="2"/>
  <c r="D13" i="2"/>
  <c r="D15" i="2"/>
  <c r="C15" i="2"/>
  <c r="K35" i="2" s="1"/>
  <c r="D8" i="2"/>
  <c r="D7" i="2"/>
  <c r="D6" i="2"/>
  <c r="D5" i="2"/>
  <c r="D4" i="2"/>
  <c r="F95" i="2" l="1"/>
  <c r="J31" i="2"/>
  <c r="F79" i="2"/>
  <c r="F89" i="2" s="1"/>
  <c r="D59" i="2"/>
  <c r="C34" i="2"/>
  <c r="C35" i="2" s="1"/>
  <c r="C40" i="2" s="1"/>
  <c r="F94" i="2"/>
  <c r="D82" i="2"/>
  <c r="D63" i="2"/>
  <c r="D56" i="2"/>
  <c r="D34" i="2"/>
  <c r="D35" i="2" s="1"/>
  <c r="D40" i="2" s="1"/>
  <c r="E82" i="2"/>
  <c r="E97" i="2" s="1"/>
  <c r="E98" i="2" s="1"/>
  <c r="F93" i="2"/>
  <c r="F81" i="2"/>
  <c r="F80" i="2"/>
  <c r="F91" i="2" s="1"/>
  <c r="E83" i="2"/>
  <c r="C50" i="2"/>
  <c r="C54" i="2"/>
  <c r="C82" i="2"/>
  <c r="C97" i="2" s="1"/>
  <c r="C52" i="2"/>
  <c r="C57" i="2" s="1"/>
  <c r="D52" i="2"/>
  <c r="C79" i="2"/>
  <c r="D79" i="2"/>
  <c r="D94" i="2" s="1"/>
  <c r="D18" i="2"/>
  <c r="J32" i="2" s="1"/>
  <c r="D23" i="2"/>
  <c r="C37" i="2" l="1"/>
  <c r="C39" i="2" s="1"/>
  <c r="D27" i="2"/>
  <c r="E99" i="2"/>
  <c r="C84" i="2"/>
  <c r="D57" i="2"/>
  <c r="E84" i="2"/>
  <c r="D84" i="2"/>
  <c r="F82" i="2"/>
  <c r="F96" i="2"/>
  <c r="D37" i="2"/>
  <c r="D39" i="2" s="1"/>
  <c r="D83" i="2"/>
  <c r="C94" i="2"/>
  <c r="C98" i="2" s="1"/>
  <c r="C83" i="2"/>
  <c r="F83" i="2"/>
  <c r="F85" i="2" s="1"/>
  <c r="E18" i="2"/>
  <c r="F97" i="2" l="1"/>
  <c r="F84" i="2"/>
  <c r="F98" i="2"/>
  <c r="C85" i="2"/>
  <c r="C99" i="2"/>
  <c r="D85" i="2"/>
  <c r="E85" i="2"/>
  <c r="F99" i="2" l="1"/>
  <c r="F103" i="2"/>
  <c r="D96" i="2"/>
  <c r="D97" i="2" s="1"/>
  <c r="D98" i="2" s="1"/>
  <c r="D99" i="2" s="1"/>
</calcChain>
</file>

<file path=xl/sharedStrings.xml><?xml version="1.0" encoding="utf-8"?>
<sst xmlns="http://schemas.openxmlformats.org/spreadsheetml/2006/main" count="202" uniqueCount="154">
  <si>
    <t>Total Revenue</t>
  </si>
  <si>
    <t>Payments Revenue</t>
  </si>
  <si>
    <t>Marketplace Revenue</t>
  </si>
  <si>
    <t>Fintech Revenue</t>
  </si>
  <si>
    <t>Consolidated Net Income</t>
  </si>
  <si>
    <t>Payments TPV</t>
  </si>
  <si>
    <t>Marketplace GMV</t>
  </si>
  <si>
    <t>Fintech TFV</t>
  </si>
  <si>
    <t>Payments Active Consumers</t>
  </si>
  <si>
    <t>Marketplace Active Consumers</t>
  </si>
  <si>
    <t>Fintech Consumers (Loans)</t>
  </si>
  <si>
    <t>Metric</t>
  </si>
  <si>
    <t>Unit</t>
  </si>
  <si>
    <t>KZT million</t>
  </si>
  <si>
    <t>million users</t>
  </si>
  <si>
    <t>YoY Growth</t>
  </si>
  <si>
    <t>Net Income</t>
  </si>
  <si>
    <t>Revenue Mix</t>
  </si>
  <si>
    <t>Net Margin</t>
  </si>
  <si>
    <t>Payments</t>
  </si>
  <si>
    <t>Marketplace</t>
  </si>
  <si>
    <t>Fintech</t>
  </si>
  <si>
    <t>Hepsiburada Marketplace Revenue</t>
  </si>
  <si>
    <t>Cost of Goods &amp; Services (COGS)</t>
  </si>
  <si>
    <t>Marketplace Bridge</t>
  </si>
  <si>
    <t>Marketplace Revenue (KZ Organic)</t>
  </si>
  <si>
    <t>Share of Growth from Hepsiburada</t>
  </si>
  <si>
    <t>Kazakhstan Standalone</t>
  </si>
  <si>
    <t>GMV per Active Consumer</t>
  </si>
  <si>
    <t>YoY</t>
  </si>
  <si>
    <t>Payments ARPU</t>
  </si>
  <si>
    <t>Marketplace Organic ARPU</t>
  </si>
  <si>
    <t>Fintech ARPU</t>
  </si>
  <si>
    <t>Category</t>
  </si>
  <si>
    <t>2024 Marketplace</t>
  </si>
  <si>
    <t>Hepsiburada / Türkiye</t>
  </si>
  <si>
    <t>2025 Marketplace</t>
  </si>
  <si>
    <t>Year</t>
  </si>
  <si>
    <t>Net Margin (%)</t>
  </si>
  <si>
    <t>Revenue reconciliation inputs</t>
  </si>
  <si>
    <t>Revenue by geography: Kazakhstan and other</t>
  </si>
  <si>
    <t>Revenue by geography: Türkiye</t>
  </si>
  <si>
    <t>Rewards (contra-revenue)</t>
  </si>
  <si>
    <t>Revenue Reconciliation (KZT million)</t>
  </si>
  <si>
    <t>Payments segment revenue</t>
  </si>
  <si>
    <t>Marketplace segment revenue</t>
  </si>
  <si>
    <t>Fintech segment revenue</t>
  </si>
  <si>
    <t>Sum of segment revenues (pre-eliminations)</t>
  </si>
  <si>
    <t>Less: intersegment eliminations</t>
  </si>
  <si>
    <t>Less: rewards</t>
  </si>
  <si>
    <t>Consolidated revenue (reconstructed)</t>
  </si>
  <si>
    <t>Consolidated revenue (reported)</t>
  </si>
  <si>
    <t>Check (must be 0)</t>
  </si>
  <si>
    <t>Eliminations + rewards, % of segment sum</t>
  </si>
  <si>
    <t>2025 KZ baseline (segment basis)</t>
  </si>
  <si>
    <t>Segment detail inputs</t>
  </si>
  <si>
    <t>Payments fee revenue</t>
  </si>
  <si>
    <t>Payments interest revenue</t>
  </si>
  <si>
    <t>Marketplace fee revenue (group)</t>
  </si>
  <si>
    <t>…of which Türkiye</t>
  </si>
  <si>
    <t>Marketplace 3P GMV (KZ)</t>
  </si>
  <si>
    <t>Marketplace 1P GMV (KZ)</t>
  </si>
  <si>
    <t>Marketplace retail revenue (group)</t>
  </si>
  <si>
    <t>Marketplace interest revenue (group)</t>
  </si>
  <si>
    <t>Marketplace other gains (group)</t>
  </si>
  <si>
    <t>Fintech interest revenue</t>
  </si>
  <si>
    <t>Fintech fee revenue</t>
  </si>
  <si>
    <t>Fintech other gains/(losses)</t>
  </si>
  <si>
    <t>Average Net Loan Portfolio</t>
  </si>
  <si>
    <t>Fintech Yield (20-F KPI, reference only)</t>
  </si>
  <si>
    <t>Cost of Risk (for later)</t>
  </si>
  <si>
    <t>Corrected Unit Economics</t>
  </si>
  <si>
    <t>Payments fee take rate (fee rev / TPV)</t>
  </si>
  <si>
    <t>KZ Marketplace fee revenue</t>
  </si>
  <si>
    <t>Marketplace take rate (KZ fee / 3P GMV)</t>
  </si>
  <si>
    <t>KZ other marketplace revenue (1P retail + interest + gains)</t>
  </si>
  <si>
    <t>Blended revenue / total GMV</t>
  </si>
  <si>
    <t>Fintech revenue excl. other gains</t>
  </si>
  <si>
    <t>Fintech yield on Avg Net Loan Portfolio (model basis)</t>
  </si>
  <si>
    <t>TFV-to-portfolio conversion</t>
  </si>
  <si>
    <t>TPV growth</t>
  </si>
  <si>
    <t>Payments fee take rate</t>
  </si>
  <si>
    <t>Payments interest revenue growth</t>
  </si>
  <si>
    <t>3P GMV growth</t>
  </si>
  <si>
    <t>Marketplace take rate</t>
  </si>
  <si>
    <t>Other marketplace revenue growth</t>
  </si>
  <si>
    <t>TFV growth</t>
  </si>
  <si>
    <t>Fintech yield (model basis)</t>
  </si>
  <si>
    <t>Bear (C)</t>
  </si>
  <si>
    <t>Base (D)</t>
  </si>
  <si>
    <t>Bull (E)</t>
  </si>
  <si>
    <t>2025 replay (F)</t>
  </si>
  <si>
    <t>Bear</t>
  </si>
  <si>
    <t>Base</t>
  </si>
  <si>
    <t>Bull</t>
  </si>
  <si>
    <t>Marketplace Revenue (KZ)</t>
  </si>
  <si>
    <t>Fintech Revenue (Gross)</t>
  </si>
  <si>
    <t>Fintech Cost of Risk (Losses)</t>
  </si>
  <si>
    <t>Fintech Net Revenue (Post-Risk)</t>
  </si>
  <si>
    <t>Total Ecosystem Revenue (Gross)</t>
  </si>
  <si>
    <t>Total Ecosystem Revenue (Net of Risk)</t>
  </si>
  <si>
    <t>Cost Layer &amp; Net Income</t>
  </si>
  <si>
    <t>Payments Net Margin (%)</t>
  </si>
  <si>
    <t>Marketplace Net Margin (%)</t>
  </si>
  <si>
    <t>Fintech OPEX &amp; Tax (% of Gross Rev)</t>
  </si>
  <si>
    <t>Payments Net Income</t>
  </si>
  <si>
    <t>Marketplace Net Income (KZ)</t>
  </si>
  <si>
    <t>Fintech Interest Expense</t>
  </si>
  <si>
    <t>Fintech OPEX &amp; Tax</t>
  </si>
  <si>
    <t>Fintech Net Income</t>
  </si>
  <si>
    <t>Consolidated Net Income (KZ)</t>
  </si>
  <si>
    <t>Payments segment net income</t>
  </si>
  <si>
    <t>Marketplace segment net income</t>
  </si>
  <si>
    <t>Fintech segment net income</t>
  </si>
  <si>
    <t>Hepsiburada net loss within Marketplace segment</t>
  </si>
  <si>
    <t>Fintech interest expense</t>
  </si>
  <si>
    <t>Fintech provision expense</t>
  </si>
  <si>
    <t>Türkiye net loss (group level)</t>
  </si>
  <si>
    <t>Türkiye revenue, net of rewards/eliminations</t>
  </si>
  <si>
    <t>Check: KZ Net Income reconciliation</t>
  </si>
  <si>
    <t>Checks</t>
  </si>
  <si>
    <t>KZ net income / KZ segment revenue (pre-elim)</t>
  </si>
  <si>
    <t>Group Net Income Margin (2025)</t>
  </si>
  <si>
    <t>Margin ex-Türkiye (2025)</t>
  </si>
  <si>
    <t>2025 ex-Türkiye</t>
  </si>
  <si>
    <t>2025 Group</t>
  </si>
  <si>
    <t>KZ Organic</t>
  </si>
  <si>
    <t>Revenue (₸ million)</t>
  </si>
  <si>
    <t>Check: row 52 − row 23 (must be 0)</t>
  </si>
  <si>
    <t>Provision / Avg Net Loan Portfolio</t>
  </si>
  <si>
    <t>Fintech interest expense / Avg Net Loan Portfolio</t>
  </si>
  <si>
    <t>2025 replay inputs</t>
  </si>
  <si>
    <t>Payments total revenue / TPV (blended, incl. interest)</t>
  </si>
  <si>
    <t>Marketplace blended revenue / GMV (incl. 1P, not a take rate)</t>
  </si>
  <si>
    <t>Fintech revenue / TFV (legacy ratio, not a yield)</t>
  </si>
  <si>
    <t>TFV-to-portfolio conversion (x) = TFV ÷ Avg Net Loan Portfolio</t>
  </si>
  <si>
    <t>Fee revenue share of Fintech revenue (ex other gains), %</t>
  </si>
  <si>
    <t>Bridge: change in blended revenue / GMV, 2024 → 2025 (bps)</t>
  </si>
  <si>
    <t>Fee revenue (take rate effect)</t>
  </si>
  <si>
    <t>Segment net income − consolidated net income</t>
  </si>
  <si>
    <t>Payments: fee + interest − segment revenue</t>
  </si>
  <si>
    <t>Marketplace: fee + retail + interest + gains − segment revenue</t>
  </si>
  <si>
    <t>Türkiye components − Türkiye revenue by geography</t>
  </si>
  <si>
    <t>Geography revenue − rewards − consolidated revenue</t>
  </si>
  <si>
    <t>Overall status</t>
  </si>
  <si>
    <t>Fintech: interest + fee + other − segment revenue</t>
  </si>
  <si>
    <t>%</t>
  </si>
  <si>
    <t>YoY vs 2025 replay base (incl. add-back of Fintech other losses)</t>
  </si>
  <si>
    <t>Check: bridge total − change in row 52 (must be 0)</t>
  </si>
  <si>
    <t>bps</t>
  </si>
  <si>
    <t>1P retail (KZ)</t>
  </si>
  <si>
    <t>Interest on merchant balances (KZ)</t>
  </si>
  <si>
    <t>Other gains (KZ)</t>
  </si>
  <si>
    <t>Total change in blended revenue / GMV (bps)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</si>
</sst>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00"/>
    <numFmt numFmtId="167" formatCode="0.000%"/>
  </numFmts>
  <fonts count="5" x14ac:knownFonts="1">
    <font>
      <sz val="14"/>
      <color theme="1"/>
      <name val="Inter Tight"/>
      <family val="2"/>
    </font>
    <font>
      <b/>
      <sz val="14"/>
      <color theme="1"/>
      <name val="Inter Tight"/>
      <family val="2"/>
    </font>
    <font>
      <b/>
      <sz val="14"/>
      <color theme="1"/>
      <name val="Inter Tight"/>
      <charset val="204"/>
    </font>
    <font>
      <sz val="14"/>
      <color theme="1"/>
      <name val="Inter Tight"/>
      <family val="2"/>
    </font>
    <font>
      <sz val="14"/>
      <color theme="1"/>
      <name val="Inter Tight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0" fontId="2" fillId="0" borderId="1" xfId="0" applyFont="1" applyBorder="1" applyAlignment="1">
      <alignment horizontal="right"/>
    </xf>
    <xf numFmtId="165" fontId="0" fillId="0" borderId="0" xfId="1" applyNumberFormat="1" applyFont="1" applyAlignment="1">
      <alignment horizontal="right"/>
    </xf>
    <xf numFmtId="164" fontId="0" fillId="0" borderId="0" xfId="1" applyNumberFormat="1" applyFont="1"/>
    <xf numFmtId="0" fontId="2" fillId="0" borderId="0" xfId="0" applyFont="1" applyAlignment="1">
      <alignment horizontal="right"/>
    </xf>
    <xf numFmtId="43" fontId="0" fillId="0" borderId="0" xfId="1" applyFont="1"/>
    <xf numFmtId="0" fontId="0" fillId="0" borderId="0" xfId="1" applyNumberFormat="1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9" fontId="0" fillId="0" borderId="0" xfId="0" applyNumberFormat="1"/>
    <xf numFmtId="9" fontId="0" fillId="0" borderId="0" xfId="0" applyNumberFormat="1" applyAlignment="1">
      <alignment horizontal="right" vertical="center" wrapText="1"/>
    </xf>
    <xf numFmtId="0" fontId="0" fillId="0" borderId="0" xfId="0" applyNumberFormat="1"/>
    <xf numFmtId="2" fontId="0" fillId="0" borderId="0" xfId="0" applyNumberFormat="1"/>
    <xf numFmtId="165" fontId="0" fillId="0" borderId="0" xfId="1" applyNumberFormat="1" applyFont="1" applyAlignment="1">
      <alignment horizontal="right" vertical="center" wrapText="1"/>
    </xf>
    <xf numFmtId="0" fontId="0" fillId="0" borderId="0" xfId="1" applyNumberFormat="1" applyFont="1" applyAlignment="1">
      <alignment horizontal="right" vertical="center" wrapText="1"/>
    </xf>
    <xf numFmtId="10" fontId="0" fillId="0" borderId="0" xfId="0" applyNumberFormat="1" applyAlignment="1">
      <alignment vertical="center"/>
    </xf>
    <xf numFmtId="165" fontId="0" fillId="0" borderId="0" xfId="1" applyNumberFormat="1" applyFont="1" applyAlignment="1">
      <alignment vertical="center"/>
    </xf>
    <xf numFmtId="166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right" vertical="center" wrapText="1"/>
    </xf>
    <xf numFmtId="167" fontId="0" fillId="0" borderId="0" xfId="0" applyNumberFormat="1"/>
    <xf numFmtId="165" fontId="4" fillId="0" borderId="0" xfId="1" applyNumberFormat="1" applyFont="1" applyAlignment="1">
      <alignment horizontal="right" vertical="center" wrapText="1"/>
    </xf>
    <xf numFmtId="165" fontId="0" fillId="0" borderId="0" xfId="1" applyNumberFormat="1" applyFont="1" applyAlignment="1"/>
    <xf numFmtId="165" fontId="0" fillId="0" borderId="0" xfId="0" applyNumberFormat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right"/>
    </xf>
    <xf numFmtId="0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BA1616"/>
      <color rgb="FFE319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/>
              <a:t>Hepsiburada Consolidation Drove 86% </a:t>
            </a:r>
            <a:br>
              <a:rPr lang="en-US" sz="1200" b="0" i="0" u="none" strike="noStrike" baseline="0"/>
            </a:br>
            <a:r>
              <a:rPr lang="en-US" sz="1200" b="0" i="0" u="none" strike="noStrike" baseline="0"/>
              <a:t>of Marketplace Revenue Growth in 2025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Analysis!$J$30</c:f>
              <c:strCache>
                <c:ptCount val="1"/>
                <c:pt idx="0">
                  <c:v>KZ Organic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Analysis!$J$31:$J$32</c:f>
              <c:numCache>
                <c:formatCode>#,##0</c:formatCode>
                <c:ptCount val="2"/>
                <c:pt idx="0">
                  <c:v>732943</c:v>
                </c:pt>
                <c:pt idx="1">
                  <c:v>899880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B-4D3D-8D33-4FC5812B0C2B}"/>
            </c:ext>
          </c:extLst>
        </c:ser>
        <c:ser>
          <c:idx val="1"/>
          <c:order val="1"/>
          <c:tx>
            <c:strRef>
              <c:f>Analysis!$K$30</c:f>
              <c:strCache>
                <c:ptCount val="1"/>
                <c:pt idx="0">
                  <c:v>Hepsiburada / Türkiye</c:v>
                </c:pt>
              </c:strCache>
            </c:strRef>
          </c:tx>
          <c:spPr>
            <a:solidFill>
              <a:srgbClr val="E31937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BB-4D3D-8D33-4FC5812B0C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Analysis!$I$31:$I$32</c:f>
              <c:strCache>
                <c:ptCount val="2"/>
                <c:pt idx="0">
                  <c:v>2024 Marketplace</c:v>
                </c:pt>
                <c:pt idx="1">
                  <c:v>2025 Marketplace</c:v>
                </c:pt>
              </c:strCache>
            </c:strRef>
          </c:cat>
          <c:val>
            <c:numRef>
              <c:f>Analysis!$K$31:$K$32</c:f>
              <c:numCache>
                <c:formatCode>_(* #,##0_);_(* \(#,##0\);_(* "-"??_);_(@_)</c:formatCode>
                <c:ptCount val="2"/>
                <c:pt idx="0" formatCode="General">
                  <c:v>0</c:v>
                </c:pt>
                <c:pt idx="1">
                  <c:v>1031592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B-4D3D-8D33-4FC5812B0C2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9261519"/>
        <c:axId val="89263183"/>
      </c:barChart>
      <c:catAx>
        <c:axId val="89261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3183"/>
        <c:crosses val="autoZero"/>
        <c:auto val="1"/>
        <c:lblAlgn val="ctr"/>
        <c:lblOffset val="100"/>
        <c:noMultiLvlLbl val="0"/>
      </c:catAx>
      <c:valAx>
        <c:axId val="8926318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9261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2026E KZ Segment Revenue </a:t>
            </a:r>
          </a:p>
          <a:p>
            <a:pPr>
              <a:defRPr sz="120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and Net Income by Scenario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Inter Tight" pitchFamily="2" charset="0"/>
                    <a:ea typeface="Inter Tight" pitchFamily="2" charset="0"/>
                    <a:cs typeface="Inter Tight" pitchFamily="2" charset="0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Analysis!$C$66:$E$66</c:f>
              <c:strCache>
                <c:ptCount val="3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</c:strCache>
            </c:strRef>
          </c:cat>
          <c:val>
            <c:numRef>
              <c:f>Analysis!$C$83:$E$83</c:f>
              <c:numCache>
                <c:formatCode>_(* #,##0_);_(* \(#,##0\);_(* "-"??_);_(@_)</c:formatCode>
                <c:ptCount val="3"/>
                <c:pt idx="0">
                  <c:v>3152135.8883783785</c:v>
                </c:pt>
                <c:pt idx="1">
                  <c:v>3545776.6449999996</c:v>
                </c:pt>
                <c:pt idx="2">
                  <c:v>3832111.14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CB-4CFD-9961-C7CB9FD3396F}"/>
            </c:ext>
          </c:extLst>
        </c:ser>
        <c:ser>
          <c:idx val="1"/>
          <c:order val="1"/>
          <c:tx>
            <c:v>Net Income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Inter Tight" pitchFamily="2" charset="0"/>
                    <a:ea typeface="Inter Tight" pitchFamily="2" charset="0"/>
                    <a:cs typeface="Inter Tight" pitchFamily="2" charset="0"/>
                  </a:defRPr>
                </a:pPr>
                <a:endParaRPr lang="ru-K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Analysis!$C$66:$E$66</c:f>
              <c:strCache>
                <c:ptCount val="3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</c:strCache>
            </c:strRef>
          </c:cat>
          <c:val>
            <c:numRef>
              <c:f>Analysis!$C$98:$E$98</c:f>
              <c:numCache>
                <c:formatCode>_(* #,##0_);_(* \(#,##0\);_(* "-"??_);_(@_)</c:formatCode>
                <c:ptCount val="3"/>
                <c:pt idx="0">
                  <c:v>742930.57949189201</c:v>
                </c:pt>
                <c:pt idx="1">
                  <c:v>1329244.4169983333</c:v>
                </c:pt>
                <c:pt idx="2">
                  <c:v>1737159.3540000003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C0-4BCF-9151-A476DF2A52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5199167"/>
        <c:axId val="215201663"/>
      </c:barChart>
      <c:catAx>
        <c:axId val="215199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01663"/>
        <c:crosses val="autoZero"/>
        <c:auto val="1"/>
        <c:lblAlgn val="ctr"/>
        <c:lblOffset val="100"/>
        <c:noMultiLvlLbl val="0"/>
      </c:catAx>
      <c:valAx>
        <c:axId val="215201663"/>
        <c:scaling>
          <c:orientation val="minMax"/>
        </c:scaling>
        <c:delete val="0"/>
        <c:axPos val="l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19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Inter Tight SemiBold" pitchFamily="2" charset="0"/>
                <a:ea typeface="Inter Tight SemiBold" pitchFamily="2" charset="0"/>
                <a:cs typeface="Inter Tight SemiBold" pitchFamily="2" charset="0"/>
              </a:defRPr>
            </a:pPr>
            <a:r>
              <a:rPr lang="en-US" sz="1200" b="0" i="0" u="none" strike="noStrike" baseline="0">
                <a:latin typeface="Inter Tight SemiBold" pitchFamily="2" charset="0"/>
                <a:ea typeface="Inter Tight SemiBold" pitchFamily="2" charset="0"/>
                <a:cs typeface="Inter Tight SemiBold" pitchFamily="2" charset="0"/>
              </a:rPr>
              <a:t>Türkiye Consolidation Explains ~3/4 of the Margin Drop</a:t>
            </a:r>
            <a:endParaRPr lang="en-US" sz="120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Inter Tight SemiBold" pitchFamily="2" charset="0"/>
              <a:ea typeface="Inter Tight SemiBold" pitchFamily="2" charset="0"/>
              <a:cs typeface="Inter Tight SemiBold" pitchFamily="2" charset="0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Analysis!$J$34</c:f>
              <c:strCache>
                <c:ptCount val="1"/>
                <c:pt idx="0">
                  <c:v>Revenue (₸ million)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Analysis!$I$35:$I$37</c:f>
              <c:strCache>
                <c:ptCount val="3"/>
                <c:pt idx="0">
                  <c:v>2024</c:v>
                </c:pt>
                <c:pt idx="1">
                  <c:v>2025 ex-Türkiye</c:v>
                </c:pt>
                <c:pt idx="2">
                  <c:v>2025 Group</c:v>
                </c:pt>
              </c:strCache>
            </c:strRef>
          </c:cat>
          <c:val>
            <c:numRef>
              <c:f>Analysis!$J$35:$J$37</c:f>
              <c:numCache>
                <c:formatCode>#,##0</c:formatCode>
                <c:ptCount val="3"/>
                <c:pt idx="0" formatCode="_(* #,##0_);_(* \(#,##0\);_(* &quot;-&quot;??_);_(@_)">
                  <c:v>2532156</c:v>
                </c:pt>
                <c:pt idx="1">
                  <c:v>3027244</c:v>
                </c:pt>
                <c:pt idx="2" formatCode="_(* #,##0_);_(* \(#,##0\);_(* &quot;-&quot;??_);_(@_)">
                  <c:v>4046074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1-42C5-B740-244FC4B5B51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87"/>
        <c:axId val="215252911"/>
        <c:axId val="215253743"/>
      </c:barChart>
      <c:lineChart>
        <c:grouping val="standard"/>
        <c:varyColors val="0"/>
        <c:ser>
          <c:idx val="2"/>
          <c:order val="1"/>
          <c:tx>
            <c:strRef>
              <c:f>Analysis!$K$34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rgbClr val="E31937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BA1616"/>
              </a:solidFill>
              <a:ln w="9525">
                <a:noFill/>
              </a:ln>
              <a:effectLst/>
            </c:spPr>
          </c:marker>
          <c:dLbls>
            <c:spPr>
              <a:solidFill>
                <a:srgbClr val="E3193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Inter Tight SemiBold" pitchFamily="2" charset="0"/>
                    <a:ea typeface="Inter Tight SemiBold" pitchFamily="2" charset="0"/>
                    <a:cs typeface="Inter Tight SemiBold" pitchFamily="2" charset="0"/>
                  </a:defRPr>
                </a:pPr>
                <a:endParaRPr lang="ru-K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Analysis!$I$35:$I$37</c:f>
              <c:strCache>
                <c:ptCount val="3"/>
                <c:pt idx="0">
                  <c:v>2024</c:v>
                </c:pt>
                <c:pt idx="1">
                  <c:v>2025 ex-Türkiye</c:v>
                </c:pt>
                <c:pt idx="2">
                  <c:v>2025 Group</c:v>
                </c:pt>
              </c:strCache>
            </c:strRef>
          </c:cat>
          <c:val>
            <c:numRef>
              <c:f>Analysis!$K$35:$K$37</c:f>
              <c:numCache>
                <c:formatCode>0.0%</c:formatCode>
                <c:ptCount val="3"/>
                <c:pt idx="0">
                  <c:v>0.41736528081208268</c:v>
                </c:pt>
                <c:pt idx="1">
                  <c:v>0.382285339404422</c:v>
                </c:pt>
                <c:pt idx="2">
                  <c:v>0.26388716568209086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71-42C5-B740-244FC4B5B5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513215"/>
        <c:axId val="86518623"/>
      </c:lineChart>
      <c:catAx>
        <c:axId val="21525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3743"/>
        <c:crosses val="autoZero"/>
        <c:auto val="1"/>
        <c:lblAlgn val="ctr"/>
        <c:lblOffset val="100"/>
        <c:noMultiLvlLbl val="0"/>
      </c:catAx>
      <c:valAx>
        <c:axId val="21525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215252911"/>
        <c:crosses val="autoZero"/>
        <c:crossBetween val="between"/>
      </c:valAx>
      <c:valAx>
        <c:axId val="86518623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nter Tight" pitchFamily="2" charset="0"/>
                <a:ea typeface="Inter Tight" pitchFamily="2" charset="0"/>
                <a:cs typeface="Inter Tight" pitchFamily="2" charset="0"/>
              </a:defRPr>
            </a:pPr>
            <a:endParaRPr lang="ru-KZ"/>
          </a:p>
        </c:txPr>
        <c:crossAx val="86513215"/>
        <c:crosses val="max"/>
        <c:crossBetween val="between"/>
      </c:valAx>
      <c:catAx>
        <c:axId val="865132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186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Inter Tight" pitchFamily="2" charset="0"/>
              <a:ea typeface="Inter Tight" pitchFamily="2" charset="0"/>
              <a:cs typeface="Inter Tight" pitchFamily="2" charset="0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Inter Tight" pitchFamily="2" charset="0"/>
          <a:ea typeface="Inter Tight" pitchFamily="2" charset="0"/>
          <a:cs typeface="Inter Tight" pitchFamily="2" charset="0"/>
        </a:defRPr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190500</xdr:rowOff>
    </xdr:from>
    <xdr:to>
      <xdr:col>6</xdr:col>
      <xdr:colOff>25400</xdr:colOff>
      <xdr:row>12</xdr:row>
      <xdr:rowOff>198120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4EC167-4CEA-4BCF-A625-1E4BB7242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441960</xdr:colOff>
      <xdr:row>1</xdr:row>
      <xdr:rowOff>190500</xdr:rowOff>
    </xdr:from>
    <xdr:to>
      <xdr:col>11</xdr:col>
      <xdr:colOff>480060</xdr:colOff>
      <xdr:row>12</xdr:row>
      <xdr:rowOff>205740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7BEE38-3E09-4B5F-93BE-5DB071F61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967740</xdr:colOff>
      <xdr:row>1</xdr:row>
      <xdr:rowOff>160020</xdr:rowOff>
    </xdr:from>
    <xdr:to>
      <xdr:col>17</xdr:col>
      <xdr:colOff>162709</xdr:colOff>
      <xdr:row>12</xdr:row>
      <xdr:rowOff>254597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7028CD-0CAC-4B8F-B302-047293FD3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88866-A1AE-4376-A066-EACDBAE1C6EE}">
  <dimension ref="B2:E60"/>
  <sheetViews>
    <sheetView showGridLines="0" topLeftCell="A43" zoomScale="81" workbookViewId="0">
      <selection activeCell="E53" sqref="E53"/>
    </sheetView>
  </sheetViews>
  <sheetFormatPr defaultRowHeight="21" x14ac:dyDescent="0.5"/>
  <cols>
    <col min="1" max="1" width="3.640625" customWidth="1"/>
    <col min="2" max="2" width="33.7109375" customWidth="1"/>
    <col min="3" max="3" width="9.0703125" customWidth="1"/>
    <col min="4" max="5" width="12.140625" customWidth="1"/>
    <col min="6" max="6" width="9.140625" customWidth="1"/>
  </cols>
  <sheetData>
    <row r="2" spans="2:5" ht="29.4" customHeight="1" thickBot="1" x14ac:dyDescent="0.55000000000000004">
      <c r="B2" s="14" t="s">
        <v>11</v>
      </c>
      <c r="C2" s="14" t="s">
        <v>12</v>
      </c>
      <c r="D2" s="14">
        <v>2024</v>
      </c>
      <c r="E2" s="14">
        <v>2025</v>
      </c>
    </row>
    <row r="3" spans="2:5" x14ac:dyDescent="0.5">
      <c r="B3" s="3" t="s">
        <v>0</v>
      </c>
      <c r="C3" s="2" t="s">
        <v>13</v>
      </c>
      <c r="D3" s="4">
        <v>2532156</v>
      </c>
      <c r="E3" s="4">
        <v>4046074</v>
      </c>
    </row>
    <row r="4" spans="2:5" ht="21" customHeight="1" x14ac:dyDescent="0.5">
      <c r="B4" s="13" t="s">
        <v>1</v>
      </c>
      <c r="C4" s="2" t="s">
        <v>13</v>
      </c>
      <c r="D4" s="4">
        <v>587097</v>
      </c>
      <c r="E4" s="4">
        <v>658726</v>
      </c>
    </row>
    <row r="5" spans="2:5" ht="21" customHeight="1" x14ac:dyDescent="0.5">
      <c r="B5" s="13" t="s">
        <v>2</v>
      </c>
      <c r="C5" s="2" t="s">
        <v>13</v>
      </c>
      <c r="D5" s="4">
        <v>732943</v>
      </c>
      <c r="E5" s="4">
        <v>1931472</v>
      </c>
    </row>
    <row r="6" spans="2:5" ht="21" customHeight="1" x14ac:dyDescent="0.5">
      <c r="B6" s="13" t="s">
        <v>3</v>
      </c>
      <c r="C6" s="2" t="s">
        <v>13</v>
      </c>
      <c r="D6" s="4">
        <v>1281827</v>
      </c>
      <c r="E6" s="4">
        <v>1542934</v>
      </c>
    </row>
    <row r="7" spans="2:5" x14ac:dyDescent="0.5">
      <c r="B7" s="3" t="s">
        <v>4</v>
      </c>
      <c r="C7" s="2" t="s">
        <v>13</v>
      </c>
      <c r="D7" s="4">
        <v>1056834</v>
      </c>
      <c r="E7" s="4">
        <v>1067707</v>
      </c>
    </row>
    <row r="9" spans="2:5" x14ac:dyDescent="0.5">
      <c r="B9" s="2" t="s">
        <v>5</v>
      </c>
      <c r="C9" s="2" t="s">
        <v>13</v>
      </c>
      <c r="D9" s="4">
        <v>37229000</v>
      </c>
      <c r="E9" s="4">
        <v>44219000</v>
      </c>
    </row>
    <row r="10" spans="2:5" x14ac:dyDescent="0.5">
      <c r="B10" s="2" t="s">
        <v>6</v>
      </c>
      <c r="C10" s="2" t="s">
        <v>13</v>
      </c>
      <c r="D10" s="4">
        <v>5975000</v>
      </c>
      <c r="E10" s="4">
        <v>6657000</v>
      </c>
    </row>
    <row r="11" spans="2:5" ht="21" customHeight="1" x14ac:dyDescent="0.5">
      <c r="B11" s="2" t="s">
        <v>7</v>
      </c>
      <c r="C11" s="2" t="s">
        <v>13</v>
      </c>
      <c r="D11" s="4">
        <v>10305000</v>
      </c>
      <c r="E11" s="4">
        <v>11652000</v>
      </c>
    </row>
    <row r="12" spans="2:5" ht="21" customHeight="1" x14ac:dyDescent="0.5"/>
    <row r="13" spans="2:5" ht="21" customHeight="1" x14ac:dyDescent="0.5">
      <c r="B13" s="2" t="s">
        <v>8</v>
      </c>
      <c r="C13" s="2" t="s">
        <v>14</v>
      </c>
      <c r="D13" s="1">
        <v>13.6</v>
      </c>
      <c r="E13" s="1">
        <v>14.6</v>
      </c>
    </row>
    <row r="14" spans="2:5" ht="21" customHeight="1" x14ac:dyDescent="0.5">
      <c r="B14" s="2" t="s">
        <v>9</v>
      </c>
      <c r="C14" s="2" t="s">
        <v>14</v>
      </c>
      <c r="D14" s="1">
        <v>8.1</v>
      </c>
      <c r="E14" s="1">
        <v>8.8000000000000007</v>
      </c>
    </row>
    <row r="15" spans="2:5" ht="21" customHeight="1" x14ac:dyDescent="0.5">
      <c r="B15" s="2" t="s">
        <v>10</v>
      </c>
      <c r="C15" s="2" t="s">
        <v>14</v>
      </c>
      <c r="D15" s="1">
        <v>6.4</v>
      </c>
      <c r="E15" s="1">
        <v>6.3</v>
      </c>
    </row>
    <row r="16" spans="2:5" ht="21" customHeight="1" x14ac:dyDescent="0.5"/>
    <row r="17" spans="2:5" x14ac:dyDescent="0.5">
      <c r="B17" t="s">
        <v>22</v>
      </c>
      <c r="C17" t="s">
        <v>13</v>
      </c>
      <c r="D17" s="1">
        <v>0</v>
      </c>
      <c r="E17" s="18">
        <f>E22</f>
        <v>1031592</v>
      </c>
    </row>
    <row r="18" spans="2:5" x14ac:dyDescent="0.5">
      <c r="B18" t="s">
        <v>23</v>
      </c>
      <c r="C18" t="s">
        <v>13</v>
      </c>
      <c r="D18" s="18">
        <v>303858</v>
      </c>
      <c r="E18" s="18">
        <v>1179141</v>
      </c>
    </row>
    <row r="20" spans="2:5" x14ac:dyDescent="0.5">
      <c r="B20" t="s">
        <v>39</v>
      </c>
    </row>
    <row r="21" spans="2:5" x14ac:dyDescent="0.5">
      <c r="B21" t="s">
        <v>40</v>
      </c>
      <c r="C21" s="2" t="s">
        <v>13</v>
      </c>
      <c r="D21" s="20">
        <v>2586381</v>
      </c>
      <c r="E21" s="20">
        <v>3070369</v>
      </c>
    </row>
    <row r="22" spans="2:5" x14ac:dyDescent="0.5">
      <c r="B22" t="s">
        <v>41</v>
      </c>
      <c r="C22" s="2" t="s">
        <v>13</v>
      </c>
      <c r="D22" s="24">
        <v>0</v>
      </c>
      <c r="E22" s="20">
        <v>1031592</v>
      </c>
    </row>
    <row r="23" spans="2:5" x14ac:dyDescent="0.5">
      <c r="B23" t="s">
        <v>42</v>
      </c>
      <c r="C23" s="2" t="s">
        <v>13</v>
      </c>
      <c r="D23" s="20">
        <v>54225</v>
      </c>
      <c r="E23" s="20">
        <v>55887</v>
      </c>
    </row>
    <row r="25" spans="2:5" x14ac:dyDescent="0.5">
      <c r="B25" s="25" t="s">
        <v>55</v>
      </c>
      <c r="C25" s="2"/>
      <c r="D25" s="2"/>
    </row>
    <row r="26" spans="2:5" x14ac:dyDescent="0.5">
      <c r="B26" s="2" t="s">
        <v>56</v>
      </c>
      <c r="C26" t="s">
        <v>13</v>
      </c>
      <c r="D26" s="36">
        <v>458953</v>
      </c>
      <c r="E26" s="36">
        <v>510763</v>
      </c>
    </row>
    <row r="27" spans="2:5" x14ac:dyDescent="0.5">
      <c r="B27" s="2" t="s">
        <v>57</v>
      </c>
      <c r="C27" t="s">
        <v>13</v>
      </c>
      <c r="D27" s="36">
        <v>128144</v>
      </c>
      <c r="E27" s="36">
        <v>147963</v>
      </c>
    </row>
    <row r="28" spans="2:5" x14ac:dyDescent="0.5">
      <c r="B28" s="2" t="s">
        <v>58</v>
      </c>
      <c r="C28" t="s">
        <v>13</v>
      </c>
      <c r="D28" s="36">
        <v>562283</v>
      </c>
      <c r="E28" s="36">
        <v>974269</v>
      </c>
    </row>
    <row r="29" spans="2:5" x14ac:dyDescent="0.5">
      <c r="B29" s="2" t="s">
        <v>59</v>
      </c>
      <c r="C29" t="s">
        <v>13</v>
      </c>
      <c r="D29" s="37">
        <v>0</v>
      </c>
      <c r="E29" s="36">
        <v>302921</v>
      </c>
    </row>
    <row r="30" spans="2:5" x14ac:dyDescent="0.5">
      <c r="B30" s="2" t="s">
        <v>60</v>
      </c>
      <c r="C30" t="s">
        <v>13</v>
      </c>
      <c r="D30" s="36">
        <v>5797000</v>
      </c>
      <c r="E30" s="36">
        <v>6423000</v>
      </c>
    </row>
    <row r="31" spans="2:5" x14ac:dyDescent="0.5">
      <c r="B31" s="2" t="s">
        <v>61</v>
      </c>
      <c r="C31" t="s">
        <v>13</v>
      </c>
      <c r="D31" s="36">
        <v>178000</v>
      </c>
      <c r="E31" s="36">
        <v>234000</v>
      </c>
    </row>
    <row r="32" spans="2:5" x14ac:dyDescent="0.5">
      <c r="B32" s="2" t="s">
        <v>62</v>
      </c>
      <c r="C32" t="s">
        <v>13</v>
      </c>
      <c r="D32" s="36">
        <v>163134</v>
      </c>
      <c r="E32" s="36">
        <v>850127</v>
      </c>
    </row>
    <row r="33" spans="2:5" x14ac:dyDescent="0.5">
      <c r="B33" s="2" t="s">
        <v>59</v>
      </c>
      <c r="C33" t="s">
        <v>13</v>
      </c>
      <c r="D33" s="37">
        <v>0</v>
      </c>
      <c r="E33" s="36">
        <v>638164</v>
      </c>
    </row>
    <row r="34" spans="2:5" x14ac:dyDescent="0.5">
      <c r="B34" s="2" t="s">
        <v>63</v>
      </c>
      <c r="C34" t="s">
        <v>13</v>
      </c>
      <c r="D34" s="36">
        <v>6304</v>
      </c>
      <c r="E34" s="36">
        <v>69886</v>
      </c>
    </row>
    <row r="35" spans="2:5" x14ac:dyDescent="0.5">
      <c r="B35" s="2" t="s">
        <v>59</v>
      </c>
      <c r="C35" t="s">
        <v>13</v>
      </c>
      <c r="D35" s="37">
        <v>0</v>
      </c>
      <c r="E35" s="36">
        <v>54269</v>
      </c>
    </row>
    <row r="36" spans="2:5" x14ac:dyDescent="0.5">
      <c r="B36" s="2" t="s">
        <v>64</v>
      </c>
      <c r="C36" t="s">
        <v>13</v>
      </c>
      <c r="D36" s="36">
        <v>1222</v>
      </c>
      <c r="E36" s="36">
        <v>37190</v>
      </c>
    </row>
    <row r="37" spans="2:5" x14ac:dyDescent="0.5">
      <c r="B37" s="2" t="s">
        <v>59</v>
      </c>
      <c r="C37" t="s">
        <v>13</v>
      </c>
      <c r="D37" s="37">
        <v>0</v>
      </c>
      <c r="E37" s="36">
        <v>36238</v>
      </c>
    </row>
    <row r="38" spans="2:5" x14ac:dyDescent="0.5">
      <c r="B38" s="2" t="s">
        <v>65</v>
      </c>
      <c r="C38" t="s">
        <v>13</v>
      </c>
      <c r="D38" s="36">
        <v>955528</v>
      </c>
      <c r="E38" s="36">
        <v>1383465</v>
      </c>
    </row>
    <row r="39" spans="2:5" x14ac:dyDescent="0.5">
      <c r="B39" s="2" t="s">
        <v>66</v>
      </c>
      <c r="C39" t="s">
        <v>13</v>
      </c>
      <c r="D39" s="36">
        <v>316292</v>
      </c>
      <c r="E39" s="36">
        <v>178409</v>
      </c>
    </row>
    <row r="40" spans="2:5" x14ac:dyDescent="0.5">
      <c r="B40" s="2" t="s">
        <v>67</v>
      </c>
      <c r="C40" t="s">
        <v>13</v>
      </c>
      <c r="D40" s="36">
        <v>10007</v>
      </c>
      <c r="E40" s="36">
        <v>-18940</v>
      </c>
    </row>
    <row r="41" spans="2:5" x14ac:dyDescent="0.5">
      <c r="B41" s="2" t="s">
        <v>68</v>
      </c>
      <c r="C41" t="s">
        <v>13</v>
      </c>
      <c r="D41" s="36">
        <v>4895000</v>
      </c>
      <c r="E41" s="36">
        <v>6415000</v>
      </c>
    </row>
    <row r="42" spans="2:5" x14ac:dyDescent="0.5">
      <c r="B42" s="2" t="s">
        <v>69</v>
      </c>
      <c r="C42" t="s">
        <v>146</v>
      </c>
      <c r="D42" s="33">
        <v>0.24</v>
      </c>
      <c r="E42" s="33">
        <v>0.24</v>
      </c>
    </row>
    <row r="43" spans="2:5" x14ac:dyDescent="0.5">
      <c r="B43" s="2" t="s">
        <v>70</v>
      </c>
      <c r="C43" t="s">
        <v>146</v>
      </c>
      <c r="D43">
        <v>2.1000000000000001E-2</v>
      </c>
      <c r="E43">
        <v>2.1999999999999999E-2</v>
      </c>
    </row>
    <row r="44" spans="2:5" x14ac:dyDescent="0.5">
      <c r="B44" s="2" t="s">
        <v>111</v>
      </c>
      <c r="C44" t="s">
        <v>13</v>
      </c>
      <c r="D44" s="36">
        <v>381607</v>
      </c>
      <c r="E44" s="36">
        <v>433001</v>
      </c>
    </row>
    <row r="45" spans="2:5" x14ac:dyDescent="0.5">
      <c r="B45" s="2" t="s">
        <v>112</v>
      </c>
      <c r="C45" t="s">
        <v>13</v>
      </c>
      <c r="D45" s="36">
        <v>348400</v>
      </c>
      <c r="E45" s="36">
        <v>279773</v>
      </c>
    </row>
    <row r="46" spans="2:5" x14ac:dyDescent="0.5">
      <c r="B46" s="2" t="s">
        <v>113</v>
      </c>
      <c r="C46" t="s">
        <v>13</v>
      </c>
      <c r="D46" s="36">
        <v>326827</v>
      </c>
      <c r="E46" s="36">
        <v>354933</v>
      </c>
    </row>
    <row r="47" spans="2:5" ht="42" x14ac:dyDescent="0.5">
      <c r="B47" s="2" t="s">
        <v>114</v>
      </c>
      <c r="C47" t="s">
        <v>13</v>
      </c>
      <c r="D47" s="37">
        <v>0</v>
      </c>
      <c r="E47" s="36">
        <v>-93018</v>
      </c>
    </row>
    <row r="48" spans="2:5" x14ac:dyDescent="0.5">
      <c r="B48" s="2" t="s">
        <v>115</v>
      </c>
      <c r="C48" t="s">
        <v>13</v>
      </c>
      <c r="D48" s="36">
        <v>616116</v>
      </c>
      <c r="E48" s="36">
        <v>908698</v>
      </c>
    </row>
    <row r="49" spans="2:5" x14ac:dyDescent="0.5">
      <c r="B49" s="2" t="s">
        <v>116</v>
      </c>
      <c r="C49" t="s">
        <v>13</v>
      </c>
      <c r="D49" s="36">
        <v>113957</v>
      </c>
      <c r="E49" s="36">
        <v>161651</v>
      </c>
    </row>
    <row r="50" spans="2:5" x14ac:dyDescent="0.5">
      <c r="B50" s="2" t="s">
        <v>117</v>
      </c>
      <c r="C50" t="s">
        <v>13</v>
      </c>
      <c r="D50" s="37">
        <v>0</v>
      </c>
      <c r="E50" s="36">
        <v>-89564</v>
      </c>
    </row>
    <row r="51" spans="2:5" x14ac:dyDescent="0.5">
      <c r="B51" s="2" t="s">
        <v>118</v>
      </c>
      <c r="C51" t="s">
        <v>13</v>
      </c>
      <c r="D51" s="37">
        <v>0</v>
      </c>
      <c r="E51" s="36">
        <v>1018830</v>
      </c>
    </row>
    <row r="53" spans="2:5" x14ac:dyDescent="0.5">
      <c r="B53" s="25" t="s">
        <v>120</v>
      </c>
      <c r="D53" s="34"/>
      <c r="E53" s="34"/>
    </row>
    <row r="54" spans="2:5" ht="42" x14ac:dyDescent="0.5">
      <c r="B54" s="15" t="s">
        <v>139</v>
      </c>
      <c r="D54" s="53">
        <f>D44+D45+D46-D7</f>
        <v>0</v>
      </c>
      <c r="E54" s="53">
        <f>E44+E45+E46-E7</f>
        <v>0</v>
      </c>
    </row>
    <row r="55" spans="2:5" x14ac:dyDescent="0.5">
      <c r="B55" s="15" t="s">
        <v>140</v>
      </c>
      <c r="D55" s="34">
        <f>D26+D27-D4</f>
        <v>0</v>
      </c>
      <c r="E55" s="34">
        <f>E26+E27-E4</f>
        <v>0</v>
      </c>
    </row>
    <row r="56" spans="2:5" ht="42" x14ac:dyDescent="0.5">
      <c r="B56" s="15" t="s">
        <v>141</v>
      </c>
      <c r="D56" s="53">
        <f>D28+D32+D34+D36-D5</f>
        <v>0</v>
      </c>
      <c r="E56" s="53">
        <f>E28+E32+E34+E36-E5</f>
        <v>0</v>
      </c>
    </row>
    <row r="57" spans="2:5" ht="42" x14ac:dyDescent="0.5">
      <c r="B57" s="15" t="s">
        <v>145</v>
      </c>
      <c r="D57" s="55">
        <f>D38+D39+D40-D6</f>
        <v>0</v>
      </c>
      <c r="E57" s="55">
        <f>E38+E39+E40-E6</f>
        <v>0</v>
      </c>
    </row>
    <row r="58" spans="2:5" ht="42" x14ac:dyDescent="0.5">
      <c r="B58" s="15" t="s">
        <v>142</v>
      </c>
      <c r="D58" s="54"/>
      <c r="E58" s="34">
        <f>E29+E33+E35+E37-E22</f>
        <v>0</v>
      </c>
    </row>
    <row r="59" spans="2:5" ht="42" x14ac:dyDescent="0.5">
      <c r="B59" s="15" t="s">
        <v>143</v>
      </c>
      <c r="D59" s="53">
        <f>D21+D22-D23-D3</f>
        <v>0</v>
      </c>
      <c r="E59" s="53">
        <f>E21+E22-E23-E3</f>
        <v>0</v>
      </c>
    </row>
    <row r="60" spans="2:5" x14ac:dyDescent="0.5">
      <c r="B60" s="15" t="s">
        <v>144</v>
      </c>
      <c r="D60" s="52" t="str">
        <f>IF(SUMPRODUCT(ABS(D54:E59))&lt;0.5,"OK","ERROR")</f>
        <v>OK</v>
      </c>
      <c r="E60" s="54"/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785C-78F9-4626-9FC5-2C19389EC9FB}">
  <dimension ref="B2:K103"/>
  <sheetViews>
    <sheetView showGridLines="0" tabSelected="1" topLeftCell="A52" zoomScale="85" zoomScaleNormal="85" workbookViewId="0">
      <selection activeCell="F63" sqref="F63"/>
    </sheetView>
  </sheetViews>
  <sheetFormatPr defaultRowHeight="21" x14ac:dyDescent="0.5"/>
  <cols>
    <col min="1" max="1" width="3.640625" customWidth="1"/>
    <col min="2" max="2" width="37.2109375" customWidth="1"/>
    <col min="3" max="3" width="12.28515625" bestFit="1" customWidth="1"/>
    <col min="4" max="4" width="12.0703125" bestFit="1" customWidth="1"/>
    <col min="5" max="5" width="10.2109375" customWidth="1"/>
    <col min="6" max="6" width="17.140625" customWidth="1"/>
    <col min="9" max="9" width="15.2109375" customWidth="1"/>
    <col min="10" max="10" width="16.0703125" customWidth="1"/>
    <col min="11" max="11" width="19.28515625" customWidth="1"/>
  </cols>
  <sheetData>
    <row r="2" spans="2:5" ht="21.6" thickBot="1" x14ac:dyDescent="0.55000000000000004">
      <c r="C2" s="9">
        <v>2024</v>
      </c>
      <c r="D2" s="9">
        <v>2025</v>
      </c>
      <c r="E2" s="19" t="s">
        <v>29</v>
      </c>
    </row>
    <row r="3" spans="2:5" x14ac:dyDescent="0.5">
      <c r="B3" s="7" t="s">
        <v>15</v>
      </c>
    </row>
    <row r="4" spans="2:5" x14ac:dyDescent="0.5">
      <c r="B4" t="s">
        <v>0</v>
      </c>
      <c r="D4" s="5">
        <f>(Raw_Data!E3 / Raw_Data!D3) - 1</f>
        <v>0.59787706602594781</v>
      </c>
    </row>
    <row r="5" spans="2:5" x14ac:dyDescent="0.5">
      <c r="B5" s="12" t="s">
        <v>1</v>
      </c>
      <c r="D5" s="5">
        <f>(Raw_Data!E4 / Raw_Data!D4) - 1</f>
        <v>0.12200539263528865</v>
      </c>
    </row>
    <row r="6" spans="2:5" x14ac:dyDescent="0.5">
      <c r="B6" s="12" t="s">
        <v>2</v>
      </c>
      <c r="D6" s="5">
        <f>(Raw_Data!E5 / Raw_Data!D5) - 1</f>
        <v>1.635228114600999</v>
      </c>
    </row>
    <row r="7" spans="2:5" x14ac:dyDescent="0.5">
      <c r="B7" s="12" t="s">
        <v>3</v>
      </c>
      <c r="D7" s="5">
        <f>(Raw_Data!E6 / Raw_Data!D6) - 1</f>
        <v>0.20369909511970019</v>
      </c>
    </row>
    <row r="8" spans="2:5" x14ac:dyDescent="0.5">
      <c r="B8" s="10" t="s">
        <v>16</v>
      </c>
      <c r="C8" s="10"/>
      <c r="D8" s="11">
        <f>(Raw_Data!E7 / Raw_Data!D7) - 1</f>
        <v>1.0288276115264949E-2</v>
      </c>
    </row>
    <row r="10" spans="2:5" x14ac:dyDescent="0.5">
      <c r="B10" s="7" t="s">
        <v>17</v>
      </c>
    </row>
    <row r="11" spans="2:5" x14ac:dyDescent="0.5">
      <c r="B11" t="s">
        <v>19</v>
      </c>
      <c r="C11" s="5">
        <f>Raw_Data!D4 / SUM(Raw_Data!D$4:D$6)</f>
        <v>0.22564450834727526</v>
      </c>
      <c r="D11" s="5">
        <f>Raw_Data!E4 / SUM(Raw_Data!E$4:E$6)</f>
        <v>0.15937695674853838</v>
      </c>
    </row>
    <row r="12" spans="2:5" x14ac:dyDescent="0.5">
      <c r="B12" t="s">
        <v>20</v>
      </c>
      <c r="C12" s="5">
        <f>Raw_Data!D5 / SUM(Raw_Data!D$4:D$6)</f>
        <v>0.28169887238663621</v>
      </c>
      <c r="D12" s="5">
        <f>Raw_Data!E5 / SUM(Raw_Data!E$4:E$6)</f>
        <v>0.46731437563571643</v>
      </c>
    </row>
    <row r="13" spans="2:5" x14ac:dyDescent="0.5">
      <c r="B13" s="10" t="s">
        <v>21</v>
      </c>
      <c r="C13" s="11">
        <f>Raw_Data!D6 / SUM(Raw_Data!D$4:D$6)</f>
        <v>0.49265661926608856</v>
      </c>
      <c r="D13" s="11">
        <f>Raw_Data!E6 / SUM(Raw_Data!E$4:E$6)</f>
        <v>0.37330866761574516</v>
      </c>
    </row>
    <row r="15" spans="2:5" x14ac:dyDescent="0.5">
      <c r="B15" s="8" t="s">
        <v>18</v>
      </c>
      <c r="C15" s="6">
        <f>Raw_Data!D7 / Raw_Data!D3</f>
        <v>0.41736528081208268</v>
      </c>
      <c r="D15" s="6">
        <f>Raw_Data!E7 / Raw_Data!E3</f>
        <v>0.26388716568209086</v>
      </c>
    </row>
    <row r="17" spans="2:11" x14ac:dyDescent="0.5">
      <c r="B17" s="7" t="s">
        <v>24</v>
      </c>
    </row>
    <row r="18" spans="2:11" ht="21" customHeight="1" x14ac:dyDescent="0.5">
      <c r="B18" s="15" t="s">
        <v>25</v>
      </c>
      <c r="C18" s="16">
        <f>Raw_Data!D5</f>
        <v>732943</v>
      </c>
      <c r="D18" s="16">
        <f>Raw_Data!E5 - Raw_Data!E17</f>
        <v>899880</v>
      </c>
      <c r="E18" s="5">
        <f>(D18/C18)-1</f>
        <v>0.22776259545421684</v>
      </c>
    </row>
    <row r="19" spans="2:11" ht="21" customHeight="1" x14ac:dyDescent="0.5">
      <c r="B19" s="15" t="s">
        <v>26</v>
      </c>
      <c r="D19" s="5">
        <f>Raw_Data!E17 / (Raw_Data!E5 - Raw_Data!D5)</f>
        <v>0.86071509325181117</v>
      </c>
    </row>
    <row r="20" spans="2:11" ht="21" customHeight="1" x14ac:dyDescent="0.5"/>
    <row r="21" spans="2:11" ht="21" customHeight="1" x14ac:dyDescent="0.5">
      <c r="B21" s="7" t="s">
        <v>27</v>
      </c>
    </row>
    <row r="22" spans="2:11" x14ac:dyDescent="0.5">
      <c r="B22" t="s">
        <v>132</v>
      </c>
      <c r="C22" s="17">
        <f>Raw_Data!D4 / Raw_Data!D9</f>
        <v>1.5769883692820112E-2</v>
      </c>
      <c r="D22" s="17">
        <f>Raw_Data!E4 / Raw_Data!E9</f>
        <v>1.4896899522829552E-2</v>
      </c>
    </row>
    <row r="23" spans="2:11" x14ac:dyDescent="0.5">
      <c r="B23" t="s">
        <v>133</v>
      </c>
      <c r="C23" s="5">
        <f>Raw_Data!D5 / Raw_Data!D10</f>
        <v>0.12266828451882845</v>
      </c>
      <c r="D23" s="5">
        <f>(Raw_Data!E5 - Raw_Data!E17) / Raw_Data!E10</f>
        <v>0.13517800811176206</v>
      </c>
    </row>
    <row r="24" spans="2:11" x14ac:dyDescent="0.5">
      <c r="B24" s="12" t="s">
        <v>28</v>
      </c>
      <c r="C24" s="18">
        <f>Raw_Data!D10 / Raw_Data!D14</f>
        <v>737654.32098765438</v>
      </c>
      <c r="D24" s="18">
        <f>Raw_Data!E10 / Raw_Data!E14</f>
        <v>756477.27272727271</v>
      </c>
    </row>
    <row r="25" spans="2:11" x14ac:dyDescent="0.5">
      <c r="B25" t="s">
        <v>134</v>
      </c>
      <c r="C25" s="5">
        <f>Raw_Data!D6 / Raw_Data!D11</f>
        <v>0.12438884036875303</v>
      </c>
      <c r="D25" s="5">
        <f>Raw_Data!E6 / Raw_Data!E11</f>
        <v>0.13241795399931341</v>
      </c>
    </row>
    <row r="26" spans="2:11" x14ac:dyDescent="0.5">
      <c r="B26" t="s">
        <v>30</v>
      </c>
      <c r="C26" s="18">
        <f>Raw_Data!D4 / Raw_Data!D13</f>
        <v>43168.897058823532</v>
      </c>
      <c r="D26" s="18">
        <f>Raw_Data!E4 / Raw_Data!E13</f>
        <v>45118.219178082196</v>
      </c>
    </row>
    <row r="27" spans="2:11" x14ac:dyDescent="0.5">
      <c r="B27" t="s">
        <v>31</v>
      </c>
      <c r="C27" s="18">
        <f>C18 / Raw_Data!D14</f>
        <v>90486.790123456798</v>
      </c>
      <c r="D27" s="18">
        <f>D18 / Raw_Data!E14</f>
        <v>102259.0909090909</v>
      </c>
    </row>
    <row r="28" spans="2:11" x14ac:dyDescent="0.5">
      <c r="B28" t="s">
        <v>32</v>
      </c>
      <c r="C28" s="18">
        <f>Raw_Data!D6 / Raw_Data!D15</f>
        <v>200285.46875</v>
      </c>
      <c r="D28" s="18">
        <f>Raw_Data!E6 / Raw_Data!E15</f>
        <v>244910.15873015873</v>
      </c>
    </row>
    <row r="30" spans="2:11" ht="21.6" thickBot="1" x14ac:dyDescent="0.55000000000000004">
      <c r="B30" s="31" t="s">
        <v>43</v>
      </c>
      <c r="C30" s="30">
        <v>2024</v>
      </c>
      <c r="D30" s="30">
        <v>2025</v>
      </c>
      <c r="E30" s="26"/>
      <c r="I30" s="7" t="s">
        <v>33</v>
      </c>
      <c r="J30" s="22" t="s">
        <v>126</v>
      </c>
      <c r="K30" s="22" t="s">
        <v>35</v>
      </c>
    </row>
    <row r="31" spans="2:11" x14ac:dyDescent="0.5">
      <c r="B31" s="27" t="s">
        <v>44</v>
      </c>
      <c r="C31" s="28">
        <f>Raw_Data!D4</f>
        <v>587097</v>
      </c>
      <c r="D31" s="28">
        <f>Raw_Data!E4</f>
        <v>658726</v>
      </c>
      <c r="E31" s="26"/>
      <c r="I31" s="7" t="s">
        <v>34</v>
      </c>
      <c r="J31" s="16">
        <f>C18</f>
        <v>732943</v>
      </c>
      <c r="K31">
        <f>Raw_Data!D17</f>
        <v>0</v>
      </c>
    </row>
    <row r="32" spans="2:11" x14ac:dyDescent="0.5">
      <c r="B32" s="27" t="s">
        <v>45</v>
      </c>
      <c r="C32" s="28">
        <f>Raw_Data!D5</f>
        <v>732943</v>
      </c>
      <c r="D32" s="28">
        <f>Raw_Data!E5</f>
        <v>1931472</v>
      </c>
      <c r="E32" s="26"/>
      <c r="I32" s="7" t="s">
        <v>36</v>
      </c>
      <c r="J32" s="16">
        <f>D18</f>
        <v>899880</v>
      </c>
      <c r="K32" s="18">
        <f>Raw_Data!E17</f>
        <v>1031592</v>
      </c>
    </row>
    <row r="33" spans="2:11" x14ac:dyDescent="0.5">
      <c r="B33" s="27" t="s">
        <v>46</v>
      </c>
      <c r="C33" s="28">
        <f>Raw_Data!D6</f>
        <v>1281827</v>
      </c>
      <c r="D33" s="28">
        <f>Raw_Data!E6</f>
        <v>1542934</v>
      </c>
      <c r="E33" s="26"/>
    </row>
    <row r="34" spans="2:11" ht="42" x14ac:dyDescent="0.5">
      <c r="B34" s="27" t="s">
        <v>47</v>
      </c>
      <c r="C34" s="28">
        <f>SUM(C31:C33)</f>
        <v>2601867</v>
      </c>
      <c r="D34" s="28">
        <f>SUM(D31:D33)</f>
        <v>4133132</v>
      </c>
      <c r="E34" s="26"/>
      <c r="I34" s="7" t="s">
        <v>37</v>
      </c>
      <c r="J34" s="7" t="s">
        <v>127</v>
      </c>
      <c r="K34" s="22" t="s">
        <v>38</v>
      </c>
    </row>
    <row r="35" spans="2:11" x14ac:dyDescent="0.5">
      <c r="B35" s="27" t="s">
        <v>48</v>
      </c>
      <c r="C35" s="44">
        <f>-(C34-(Raw_Data!D21+Raw_Data!D22))</f>
        <v>-15486</v>
      </c>
      <c r="D35" s="44">
        <f>-(D34-(Raw_Data!E21+Raw_Data!E22))</f>
        <v>-31171</v>
      </c>
      <c r="E35" s="26"/>
      <c r="I35" s="8">
        <v>2024</v>
      </c>
      <c r="J35" s="18">
        <f>Raw_Data!D3</f>
        <v>2532156</v>
      </c>
      <c r="K35" s="21">
        <f>C15</f>
        <v>0.41736528081208268</v>
      </c>
    </row>
    <row r="36" spans="2:11" x14ac:dyDescent="0.5">
      <c r="B36" s="27" t="s">
        <v>49</v>
      </c>
      <c r="C36" s="44">
        <f>-Raw_Data!D23</f>
        <v>-54225</v>
      </c>
      <c r="D36" s="44">
        <f>-Raw_Data!E23</f>
        <v>-55887</v>
      </c>
      <c r="E36" s="26"/>
      <c r="I36" s="48" t="s">
        <v>124</v>
      </c>
      <c r="J36" s="16">
        <f>Raw_Data!$E$3-Raw_Data!$E$51</f>
        <v>3027244</v>
      </c>
      <c r="K36" s="5">
        <f>F102</f>
        <v>0.382285339404422</v>
      </c>
    </row>
    <row r="37" spans="2:11" x14ac:dyDescent="0.5">
      <c r="B37" s="27" t="s">
        <v>50</v>
      </c>
      <c r="C37" s="28">
        <f>C34+C35+C36</f>
        <v>2532156</v>
      </c>
      <c r="D37" s="28">
        <f>D34+D35+D36</f>
        <v>4046074</v>
      </c>
      <c r="E37" s="26"/>
      <c r="I37" s="7" t="s">
        <v>125</v>
      </c>
      <c r="J37" s="18">
        <f>Raw_Data!E3</f>
        <v>4046074</v>
      </c>
      <c r="K37" s="5">
        <f>F101</f>
        <v>0.26388716568209086</v>
      </c>
    </row>
    <row r="38" spans="2:11" x14ac:dyDescent="0.5">
      <c r="B38" s="27" t="s">
        <v>51</v>
      </c>
      <c r="C38" s="28">
        <f>Raw_Data!D3</f>
        <v>2532156</v>
      </c>
      <c r="D38" s="28">
        <f>Raw_Data!E3</f>
        <v>4046074</v>
      </c>
      <c r="E38" s="26"/>
    </row>
    <row r="39" spans="2:11" x14ac:dyDescent="0.5">
      <c r="B39" s="27" t="s">
        <v>52</v>
      </c>
      <c r="C39" s="28">
        <f>C37-C38</f>
        <v>0</v>
      </c>
      <c r="D39" s="28">
        <f>D37-D38</f>
        <v>0</v>
      </c>
      <c r="E39" s="26"/>
    </row>
    <row r="40" spans="2:11" ht="21" customHeight="1" x14ac:dyDescent="0.5">
      <c r="B40" s="27" t="s">
        <v>53</v>
      </c>
      <c r="C40" s="29">
        <f>-(C35+C36)/C34</f>
        <v>2.6792683868929502E-2</v>
      </c>
      <c r="D40" s="29">
        <f>-(D35+D36)/D34</f>
        <v>2.1063445348466974E-2</v>
      </c>
      <c r="E40" s="26"/>
    </row>
    <row r="42" spans="2:11" ht="21" customHeight="1" x14ac:dyDescent="0.5"/>
    <row r="43" spans="2:11" x14ac:dyDescent="0.5">
      <c r="B43" s="7" t="s">
        <v>54</v>
      </c>
      <c r="D43" s="16">
        <f>Raw_Data!E4+(Raw_Data!E5-Raw_Data!E17)+Raw_Data!E6</f>
        <v>3101540</v>
      </c>
    </row>
    <row r="46" spans="2:11" x14ac:dyDescent="0.5">
      <c r="B46" s="7" t="s">
        <v>71</v>
      </c>
    </row>
    <row r="47" spans="2:11" x14ac:dyDescent="0.5">
      <c r="B47" s="2" t="s">
        <v>72</v>
      </c>
      <c r="C47" s="17">
        <f>Raw_Data!D26/Raw_Data!D9</f>
        <v>1.232783582690913E-2</v>
      </c>
      <c r="D47" s="17">
        <f>Raw_Data!E26/Raw_Data!E9</f>
        <v>1.1550758723625591E-2</v>
      </c>
    </row>
    <row r="48" spans="2:11" x14ac:dyDescent="0.5">
      <c r="B48" s="2" t="s">
        <v>57</v>
      </c>
      <c r="C48" s="18">
        <f>Raw_Data!D27</f>
        <v>128144</v>
      </c>
      <c r="D48" s="18">
        <f>Raw_Data!E27</f>
        <v>147963</v>
      </c>
    </row>
    <row r="49" spans="2:4" ht="21" customHeight="1" x14ac:dyDescent="0.5">
      <c r="B49" s="2" t="s">
        <v>73</v>
      </c>
      <c r="C49" s="18">
        <f>Raw_Data!D28-Raw_Data!D29</f>
        <v>562283</v>
      </c>
      <c r="D49" s="18">
        <f>Raw_Data!E28-Raw_Data!E29</f>
        <v>671348</v>
      </c>
    </row>
    <row r="50" spans="2:4" ht="42" x14ac:dyDescent="0.5">
      <c r="B50" s="3" t="s">
        <v>74</v>
      </c>
      <c r="C50" s="38">
        <f>C49/Raw_Data!D30</f>
        <v>9.6995514921511122E-2</v>
      </c>
      <c r="D50" s="38">
        <f>D49/Raw_Data!E30</f>
        <v>0.10452249727541647</v>
      </c>
    </row>
    <row r="51" spans="2:4" ht="42" x14ac:dyDescent="0.5">
      <c r="B51" s="2" t="s">
        <v>75</v>
      </c>
      <c r="C51" s="39">
        <f>(Raw_Data!D32-Raw_Data!D33)+(Raw_Data!D34-Raw_Data!D35)+(Raw_Data!D36-Raw_Data!D37)</f>
        <v>170660</v>
      </c>
      <c r="D51" s="39">
        <f>(Raw_Data!E32-Raw_Data!E33)+(Raw_Data!E34-Raw_Data!E35)+(Raw_Data!E36-Raw_Data!E37)</f>
        <v>228532</v>
      </c>
    </row>
    <row r="52" spans="2:4" x14ac:dyDescent="0.5">
      <c r="B52" s="2" t="s">
        <v>76</v>
      </c>
      <c r="C52" s="17">
        <f>(C49+C51)/Raw_Data!D10</f>
        <v>0.12266828451882845</v>
      </c>
      <c r="D52" s="17">
        <f>(D49+D51)/Raw_Data!E10</f>
        <v>0.13517800811176206</v>
      </c>
    </row>
    <row r="53" spans="2:4" x14ac:dyDescent="0.5">
      <c r="B53" s="2" t="s">
        <v>77</v>
      </c>
      <c r="C53" s="18">
        <f>Raw_Data!D38+Raw_Data!D39</f>
        <v>1271820</v>
      </c>
      <c r="D53" s="18">
        <f>Raw_Data!E38+Raw_Data!E39</f>
        <v>1561874</v>
      </c>
    </row>
    <row r="54" spans="2:4" ht="42" x14ac:dyDescent="0.5">
      <c r="B54" s="3" t="s">
        <v>78</v>
      </c>
      <c r="C54" s="38">
        <f>C53/Raw_Data!D41</f>
        <v>0.2598202247191011</v>
      </c>
      <c r="D54" s="38">
        <f>D53/Raw_Data!E41</f>
        <v>0.24347217459080281</v>
      </c>
    </row>
    <row r="55" spans="2:4" x14ac:dyDescent="0.5">
      <c r="B55" t="s">
        <v>135</v>
      </c>
      <c r="C55" s="40">
        <f>Raw_Data!D11/Raw_Data!D41</f>
        <v>2.105209397344229</v>
      </c>
      <c r="D55" s="40">
        <f>Raw_Data!E11/Raw_Data!E41</f>
        <v>1.8163678877630554</v>
      </c>
    </row>
    <row r="56" spans="2:4" x14ac:dyDescent="0.5">
      <c r="B56" t="s">
        <v>136</v>
      </c>
      <c r="C56" s="5">
        <f>Raw_Data!D39/C53</f>
        <v>0.24869242502869904</v>
      </c>
      <c r="D56" s="5">
        <f>Raw_Data!E39/D53</f>
        <v>0.11422752411526153</v>
      </c>
    </row>
    <row r="57" spans="2:4" s="51" customFormat="1" ht="21" customHeight="1" x14ac:dyDescent="0.5">
      <c r="B57" s="49" t="s">
        <v>128</v>
      </c>
      <c r="C57" s="50">
        <f>C52-C23</f>
        <v>0</v>
      </c>
      <c r="D57" s="50">
        <f>D52-D23</f>
        <v>0</v>
      </c>
    </row>
    <row r="58" spans="2:4" ht="42" x14ac:dyDescent="0.5">
      <c r="B58" s="15" t="s">
        <v>137</v>
      </c>
      <c r="D58" s="56" t="s">
        <v>149</v>
      </c>
    </row>
    <row r="59" spans="2:4" x14ac:dyDescent="0.5">
      <c r="B59" t="s">
        <v>138</v>
      </c>
      <c r="D59" s="41">
        <f>(D49/Raw_Data!E10-C49/Raw_Data!D10)*10000</f>
        <v>67.424888012304066</v>
      </c>
    </row>
    <row r="60" spans="2:4" x14ac:dyDescent="0.5">
      <c r="B60" t="s">
        <v>150</v>
      </c>
      <c r="D60" s="41">
        <f>(Raw_Data!E32-Raw_Data!E33)/Raw_Data!E10*10000 - (Raw_Data!D32-Raw_Data!D33)/Raw_Data!D10*10000</f>
        <v>45.378573911250783</v>
      </c>
    </row>
    <row r="61" spans="2:4" x14ac:dyDescent="0.5">
      <c r="B61" t="s">
        <v>151</v>
      </c>
      <c r="D61" s="41">
        <f>((Raw_Data!E34-Raw_Data!E35)/Raw_Data!E10 - (Raw_Data!D34-Raw_Data!D35)/Raw_Data!D10)*10000</f>
        <v>12.908888683570259</v>
      </c>
    </row>
    <row r="62" spans="2:4" x14ac:dyDescent="0.5">
      <c r="B62" t="s">
        <v>152</v>
      </c>
      <c r="D62" s="41">
        <f>((Raw_Data!E36-Raw_Data!E37)/Raw_Data!E10 - (Raw_Data!D36-Raw_Data!D37)/Raw_Data!D10)*10000</f>
        <v>-0.61511467778907036</v>
      </c>
    </row>
    <row r="63" spans="2:4" x14ac:dyDescent="0.5">
      <c r="B63" s="7" t="s">
        <v>153</v>
      </c>
      <c r="D63" s="41">
        <f>SUM(D59:D62)</f>
        <v>125.09723592933604</v>
      </c>
    </row>
    <row r="64" spans="2:4" x14ac:dyDescent="0.5">
      <c r="B64" t="s">
        <v>148</v>
      </c>
      <c r="D64">
        <f>D63-(D52-C52)*10000</f>
        <v>0</v>
      </c>
    </row>
    <row r="66" spans="2:6" x14ac:dyDescent="0.5">
      <c r="C66" s="42" t="s">
        <v>92</v>
      </c>
      <c r="D66" s="42" t="s">
        <v>93</v>
      </c>
      <c r="E66" s="42" t="s">
        <v>94</v>
      </c>
      <c r="F66" s="22" t="s">
        <v>131</v>
      </c>
    </row>
    <row r="67" spans="2:6" x14ac:dyDescent="0.5">
      <c r="B67" t="s">
        <v>80</v>
      </c>
      <c r="C67" s="32">
        <v>0.1</v>
      </c>
      <c r="D67" s="32">
        <v>0.15</v>
      </c>
      <c r="E67" s="32">
        <v>0.2</v>
      </c>
      <c r="F67" s="32">
        <v>0</v>
      </c>
    </row>
    <row r="68" spans="2:6" x14ac:dyDescent="0.5">
      <c r="B68" t="s">
        <v>81</v>
      </c>
      <c r="C68" s="43">
        <v>1.0999999999999999E-2</v>
      </c>
      <c r="D68" s="43">
        <v>1.1299999999999999E-2</v>
      </c>
      <c r="E68" s="43">
        <v>1.155E-2</v>
      </c>
      <c r="F68" s="43">
        <f>D47</f>
        <v>1.1550758723625591E-2</v>
      </c>
    </row>
    <row r="69" spans="2:6" x14ac:dyDescent="0.5">
      <c r="B69" t="s">
        <v>82</v>
      </c>
      <c r="C69" s="32">
        <v>-0.1</v>
      </c>
      <c r="D69" s="32">
        <v>0.08</v>
      </c>
      <c r="E69" s="32">
        <v>0.12</v>
      </c>
      <c r="F69" s="32">
        <v>0</v>
      </c>
    </row>
    <row r="70" spans="2:6" x14ac:dyDescent="0.5">
      <c r="B70" t="s">
        <v>83</v>
      </c>
      <c r="C70" s="32">
        <v>0.06</v>
      </c>
      <c r="D70" s="32">
        <v>0.1</v>
      </c>
      <c r="E70" s="32">
        <v>0.14000000000000001</v>
      </c>
      <c r="F70" s="32">
        <v>0</v>
      </c>
    </row>
    <row r="71" spans="2:6" x14ac:dyDescent="0.5">
      <c r="B71" t="s">
        <v>84</v>
      </c>
      <c r="C71" s="17">
        <v>0.1045</v>
      </c>
      <c r="D71" s="17">
        <v>0.109</v>
      </c>
      <c r="E71" s="17">
        <v>0.112</v>
      </c>
      <c r="F71" s="17">
        <f>D50</f>
        <v>0.10452249727541647</v>
      </c>
    </row>
    <row r="72" spans="2:6" x14ac:dyDescent="0.5">
      <c r="B72" t="s">
        <v>85</v>
      </c>
      <c r="C72" s="32">
        <v>0.1</v>
      </c>
      <c r="D72" s="32">
        <v>0.25</v>
      </c>
      <c r="E72" s="32">
        <v>0.35</v>
      </c>
      <c r="F72" s="32">
        <v>0</v>
      </c>
    </row>
    <row r="73" spans="2:6" x14ac:dyDescent="0.5">
      <c r="B73" t="s">
        <v>86</v>
      </c>
      <c r="C73" s="32">
        <v>0.05</v>
      </c>
      <c r="D73" s="32">
        <v>0.13</v>
      </c>
      <c r="E73" s="32">
        <v>0.18</v>
      </c>
      <c r="F73" s="32">
        <v>0</v>
      </c>
    </row>
    <row r="74" spans="2:6" x14ac:dyDescent="0.5">
      <c r="B74" t="s">
        <v>79</v>
      </c>
      <c r="C74" s="35">
        <v>1.85</v>
      </c>
      <c r="D74" s="35">
        <v>1.8</v>
      </c>
      <c r="E74" s="35">
        <v>1.75</v>
      </c>
      <c r="F74" s="35">
        <f>D55</f>
        <v>1.8163678877630554</v>
      </c>
    </row>
    <row r="75" spans="2:6" x14ac:dyDescent="0.5">
      <c r="B75" t="s">
        <v>87</v>
      </c>
      <c r="C75" s="5">
        <v>0.23</v>
      </c>
      <c r="D75" s="5">
        <v>0.24</v>
      </c>
      <c r="E75" s="5">
        <v>0.245</v>
      </c>
      <c r="F75" s="5">
        <f>D54</f>
        <v>0.24347217459080281</v>
      </c>
    </row>
    <row r="76" spans="2:6" x14ac:dyDescent="0.5">
      <c r="B76" t="s">
        <v>129</v>
      </c>
      <c r="C76" s="5">
        <v>0.05</v>
      </c>
      <c r="D76" s="5">
        <v>2.5000000000000001E-2</v>
      </c>
      <c r="E76" s="5">
        <v>0.02</v>
      </c>
      <c r="F76" s="17">
        <f>Raw_Data!E49/Raw_Data!E41</f>
        <v>2.5198908807482462E-2</v>
      </c>
    </row>
    <row r="78" spans="2:6" x14ac:dyDescent="0.5">
      <c r="B78" t="s">
        <v>1</v>
      </c>
      <c r="C78" s="18">
        <f>Raw_Data!$E$9*(1+C67)*C68 + Raw_Data!$E$27*(1+C69)</f>
        <v>668216.60000000009</v>
      </c>
      <c r="D78" s="18">
        <f>Raw_Data!$E$9*(1+D67)*D68 + Raw_Data!$E$27*(1+D69)</f>
        <v>734425.94499999995</v>
      </c>
      <c r="E78" s="18">
        <f>Raw_Data!$E$9*(1+E67)*E68 + Raw_Data!$E$27*(1+E69)</f>
        <v>778593.9</v>
      </c>
      <c r="F78" s="18">
        <f>Raw_Data!$E$9*(1+F67)*F68 + Raw_Data!$E$27*(1+F69)</f>
        <v>658726</v>
      </c>
    </row>
    <row r="79" spans="2:6" x14ac:dyDescent="0.5">
      <c r="B79" t="s">
        <v>95</v>
      </c>
      <c r="C79" s="18">
        <f>Raw_Data!$E$30*(1+C70)*C71 + $D$51*(1+C72)</f>
        <v>962860.90999999992</v>
      </c>
      <c r="D79" s="18">
        <f>Raw_Data!$E$30*(1+D70)*D71 + $D$51*(1+D72)</f>
        <v>1055782.7000000002</v>
      </c>
      <c r="E79" s="18">
        <f>Raw_Data!$E$30*(1+E70)*E71 + $D$51*(1+E72)</f>
        <v>1128606.8400000001</v>
      </c>
      <c r="F79" s="18">
        <f>Raw_Data!$E$30*(1+F70)*F71 + $D$51*(1+F72)</f>
        <v>899880</v>
      </c>
    </row>
    <row r="80" spans="2:6" x14ac:dyDescent="0.5">
      <c r="B80" t="s">
        <v>96</v>
      </c>
      <c r="C80" s="18">
        <f>Raw_Data!$E$11*(1+C73)/C74*C75</f>
        <v>1521058.3783783785</v>
      </c>
      <c r="D80" s="18">
        <f>Raw_Data!$E$11*(1+D73)/D74*D75</f>
        <v>1755567.9999999995</v>
      </c>
      <c r="E80" s="18">
        <f>Raw_Data!$E$11*(1+E73)/E74*E75</f>
        <v>1924910.4</v>
      </c>
      <c r="F80" s="18">
        <f>Raw_Data!$E$11*(1+F73)/F74*F75</f>
        <v>1561874</v>
      </c>
    </row>
    <row r="81" spans="2:6" x14ac:dyDescent="0.5">
      <c r="B81" t="s">
        <v>97</v>
      </c>
      <c r="C81" s="23">
        <f>-(Raw_Data!$E$11*(1+C73)/C74)*C76</f>
        <v>-330664.86486486485</v>
      </c>
      <c r="D81" s="23">
        <f>-(Raw_Data!$E$11*(1+D73)/D74)*D76</f>
        <v>-182871.66666666663</v>
      </c>
      <c r="E81" s="23">
        <f>-(Raw_Data!$E$11*(1+E73)/E74)*E76</f>
        <v>-157135.54285714286</v>
      </c>
      <c r="F81" s="23">
        <f>-(Raw_Data!$E$11*(1+F73)/F74)*F76</f>
        <v>-161651</v>
      </c>
    </row>
    <row r="82" spans="2:6" x14ac:dyDescent="0.5">
      <c r="B82" t="s">
        <v>98</v>
      </c>
      <c r="C82" s="18">
        <f>C80+C81</f>
        <v>1190393.5135135136</v>
      </c>
      <c r="D82" s="18">
        <f>D80+D81</f>
        <v>1572696.333333333</v>
      </c>
      <c r="E82" s="18">
        <f>E80+E81</f>
        <v>1767774.857142857</v>
      </c>
      <c r="F82" s="18">
        <f>F80+F81</f>
        <v>1400223</v>
      </c>
    </row>
    <row r="83" spans="2:6" x14ac:dyDescent="0.5">
      <c r="B83" t="s">
        <v>99</v>
      </c>
      <c r="C83" s="18">
        <f>C78+C79+C80</f>
        <v>3152135.8883783785</v>
      </c>
      <c r="D83" s="18">
        <f>D78+D79+D80</f>
        <v>3545776.6449999996</v>
      </c>
      <c r="E83" s="18">
        <f>E78+E79+E80</f>
        <v>3832111.14</v>
      </c>
      <c r="F83" s="18">
        <f>F78+F79+F80</f>
        <v>3120480</v>
      </c>
    </row>
    <row r="84" spans="2:6" x14ac:dyDescent="0.5">
      <c r="B84" t="s">
        <v>100</v>
      </c>
      <c r="C84" s="18">
        <f>C78+C79+C82</f>
        <v>2821471.0235135136</v>
      </c>
      <c r="D84" s="18">
        <f>D78+D79+D82</f>
        <v>3362904.978333333</v>
      </c>
      <c r="E84" s="18">
        <f>E78+E79+E82</f>
        <v>3674975.5971428575</v>
      </c>
      <c r="F84" s="18">
        <f>F78+F79+F82</f>
        <v>2958829</v>
      </c>
    </row>
    <row r="85" spans="2:6" x14ac:dyDescent="0.5">
      <c r="B85" t="s">
        <v>147</v>
      </c>
      <c r="C85" s="5">
        <f>C83/$F$83-1</f>
        <v>1.0144557368859441E-2</v>
      </c>
      <c r="D85" s="5">
        <f>D83/$F$83-1</f>
        <v>0.13629205923447651</v>
      </c>
      <c r="E85" s="5">
        <f>E83/$F$83-1</f>
        <v>0.22805181895093063</v>
      </c>
      <c r="F85" s="5">
        <f>F83/$F$83-1</f>
        <v>0</v>
      </c>
    </row>
    <row r="87" spans="2:6" x14ac:dyDescent="0.5">
      <c r="B87" s="7" t="s">
        <v>101</v>
      </c>
      <c r="C87" s="22" t="s">
        <v>88</v>
      </c>
      <c r="D87" s="22" t="s">
        <v>89</v>
      </c>
      <c r="E87" s="22" t="s">
        <v>90</v>
      </c>
      <c r="F87" s="22" t="s">
        <v>91</v>
      </c>
    </row>
    <row r="88" spans="2:6" x14ac:dyDescent="0.5">
      <c r="B88" t="s">
        <v>102</v>
      </c>
      <c r="C88" s="5">
        <v>0.6</v>
      </c>
      <c r="D88" s="5">
        <v>0.65700000000000003</v>
      </c>
      <c r="E88" s="5">
        <v>0.68</v>
      </c>
      <c r="F88" s="17">
        <f>Raw_Data!E44/F78</f>
        <v>0.65733096917382949</v>
      </c>
    </row>
    <row r="89" spans="2:6" x14ac:dyDescent="0.5">
      <c r="B89" t="s">
        <v>103</v>
      </c>
      <c r="C89" s="5">
        <v>0.36</v>
      </c>
      <c r="D89" s="5">
        <v>0.41399999999999998</v>
      </c>
      <c r="E89" s="5">
        <v>0.45</v>
      </c>
      <c r="F89" s="17">
        <f>(Raw_Data!E45-Raw_Data!E47)/F79</f>
        <v>0.41426745788327335</v>
      </c>
    </row>
    <row r="90" spans="2:6" x14ac:dyDescent="0.5">
      <c r="B90" t="s">
        <v>130</v>
      </c>
      <c r="C90" s="5">
        <v>0.16</v>
      </c>
      <c r="D90" s="5">
        <v>0.14099999999999999</v>
      </c>
      <c r="E90" s="5">
        <v>0.12</v>
      </c>
      <c r="F90" s="17">
        <f>Raw_Data!E48/Raw_Data!E41</f>
        <v>0.14165206547155104</v>
      </c>
    </row>
    <row r="91" spans="2:6" x14ac:dyDescent="0.5">
      <c r="B91" t="s">
        <v>104</v>
      </c>
      <c r="C91" s="5">
        <v>0.09</v>
      </c>
      <c r="D91" s="5">
        <v>7.4999999999999997E-2</v>
      </c>
      <c r="E91" s="5">
        <v>6.5000000000000002E-2</v>
      </c>
      <c r="F91" s="17">
        <f>(F80+Raw_Data!E40-Raw_Data!E48-Raw_Data!E49-Raw_Data!E46)/F80</f>
        <v>7.5327459193251178E-2</v>
      </c>
    </row>
    <row r="93" spans="2:6" x14ac:dyDescent="0.5">
      <c r="B93" t="s">
        <v>105</v>
      </c>
      <c r="C93" s="18">
        <f>C78*C88</f>
        <v>400929.96</v>
      </c>
      <c r="D93" s="18">
        <f t="shared" ref="D93:F93" si="0">D78*D88</f>
        <v>482517.84586499998</v>
      </c>
      <c r="E93" s="18">
        <f t="shared" si="0"/>
        <v>529443.85200000007</v>
      </c>
      <c r="F93" s="18">
        <f t="shared" si="0"/>
        <v>433001</v>
      </c>
    </row>
    <row r="94" spans="2:6" x14ac:dyDescent="0.5">
      <c r="B94" t="s">
        <v>106</v>
      </c>
      <c r="C94" s="18">
        <f>C79*C89</f>
        <v>346629.92759999994</v>
      </c>
      <c r="D94" s="18">
        <f t="shared" ref="D94:F94" si="1">D79*D89</f>
        <v>437094.03780000005</v>
      </c>
      <c r="E94" s="18">
        <f t="shared" si="1"/>
        <v>507873.07800000004</v>
      </c>
      <c r="F94" s="18">
        <f t="shared" si="1"/>
        <v>372791</v>
      </c>
    </row>
    <row r="95" spans="2:6" x14ac:dyDescent="0.5">
      <c r="B95" t="s">
        <v>107</v>
      </c>
      <c r="C95" s="18">
        <f>-(Raw_Data!$E$11*(1+C73)/C74)*C90</f>
        <v>-1058127.5675675676</v>
      </c>
      <c r="D95" s="18">
        <f>-(Raw_Data!$E$11*(1+D73)/D74)*D90</f>
        <v>-1031396.1999999997</v>
      </c>
      <c r="E95" s="18">
        <f>-(Raw_Data!$E$11*(1+E73)/E74)*E90</f>
        <v>-942813.25714285707</v>
      </c>
      <c r="F95" s="18">
        <f>-(Raw_Data!$E$11*(1+F73)/F74)*F90</f>
        <v>-908697.99999999988</v>
      </c>
    </row>
    <row r="96" spans="2:6" x14ac:dyDescent="0.5">
      <c r="B96" t="s">
        <v>108</v>
      </c>
      <c r="C96" s="18">
        <f>-C80*C91</f>
        <v>-136895.25405405406</v>
      </c>
      <c r="D96" s="18">
        <f t="shared" ref="D96:F96" si="2">-D80*D91</f>
        <v>-131667.59999999995</v>
      </c>
      <c r="E96" s="18">
        <f t="shared" si="2"/>
        <v>-125119.17599999999</v>
      </c>
      <c r="F96" s="18">
        <f t="shared" si="2"/>
        <v>-117651.99999999999</v>
      </c>
    </row>
    <row r="97" spans="2:6" x14ac:dyDescent="0.5">
      <c r="B97" t="s">
        <v>109</v>
      </c>
      <c r="C97" s="18">
        <f>C82+C95+C96</f>
        <v>-4629.3081081080309</v>
      </c>
      <c r="D97" s="18">
        <f t="shared" ref="D97:F97" si="3">D82+D95+D96</f>
        <v>409632.53333333333</v>
      </c>
      <c r="E97" s="18">
        <f t="shared" si="3"/>
        <v>699842.424</v>
      </c>
      <c r="F97" s="46">
        <f>F82+F95+F96+Raw_Data!E40</f>
        <v>354933.00000000012</v>
      </c>
    </row>
    <row r="98" spans="2:6" x14ac:dyDescent="0.5">
      <c r="B98" t="s">
        <v>110</v>
      </c>
      <c r="C98" s="18">
        <f>C93+C94+C97</f>
        <v>742930.57949189201</v>
      </c>
      <c r="D98" s="18">
        <f t="shared" ref="D98:F98" si="4">D93+D94+D97</f>
        <v>1329244.4169983333</v>
      </c>
      <c r="E98" s="18">
        <f t="shared" si="4"/>
        <v>1737159.3540000003</v>
      </c>
      <c r="F98" s="45">
        <f t="shared" si="4"/>
        <v>1160725</v>
      </c>
    </row>
    <row r="99" spans="2:6" ht="21" customHeight="1" x14ac:dyDescent="0.5">
      <c r="B99" s="15" t="s">
        <v>121</v>
      </c>
      <c r="C99" s="38">
        <f>C98/C83</f>
        <v>0.23569116491170497</v>
      </c>
      <c r="D99" s="38">
        <f t="shared" ref="D99:F99" si="5">D98/D83</f>
        <v>0.37488103456057748</v>
      </c>
      <c r="E99" s="38">
        <f t="shared" si="5"/>
        <v>0.45331653768267283</v>
      </c>
      <c r="F99" s="38">
        <f t="shared" si="5"/>
        <v>0.37197001743321539</v>
      </c>
    </row>
    <row r="101" spans="2:6" x14ac:dyDescent="0.5">
      <c r="B101" t="s">
        <v>122</v>
      </c>
      <c r="F101" s="5">
        <f>Raw_Data!$E$7/Raw_Data!$E$3</f>
        <v>0.26388716568209086</v>
      </c>
    </row>
    <row r="102" spans="2:6" x14ac:dyDescent="0.5">
      <c r="B102" s="47" t="s">
        <v>123</v>
      </c>
      <c r="F102" s="5">
        <f>(Raw_Data!$E$7-Raw_Data!$E$50)/(Raw_Data!$E$3-Raw_Data!$E$51)</f>
        <v>0.382285339404422</v>
      </c>
    </row>
    <row r="103" spans="2:6" x14ac:dyDescent="0.5">
      <c r="B103" s="7" t="s">
        <v>119</v>
      </c>
      <c r="F103" s="34">
        <f>F98-(Raw_Data!E7-Raw_Data!E47)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A5A1-EFE1-476A-AC5E-5890FC68CEB3}">
  <dimension ref="A1"/>
  <sheetViews>
    <sheetView showGridLines="0" zoomScale="85" zoomScaleNormal="85" workbookViewId="0">
      <selection activeCell="O16" sqref="O16"/>
    </sheetView>
  </sheetViews>
  <sheetFormatPr defaultRowHeight="21" x14ac:dyDescent="0.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Olzhas Mergen</dc:creator>
  <cp:lastModifiedBy>Olzhas Mergen</cp:lastModifiedBy>
  <dcterms:created xsi:type="dcterms:W3CDTF">2026-09-24T19:25:03Z</dcterms:created>
  <dcterms:modified xsi:type="dcterms:W3CDTF">2026-10-10T10:54:48Z</dcterms:modified>
</cp:coreProperties>
</file>