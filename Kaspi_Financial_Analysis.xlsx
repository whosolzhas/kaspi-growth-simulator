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sulting\Kaspi Bank\"/>
    </mc:Choice>
  </mc:AlternateContent>
  <xr:revisionPtr revIDLastSave="0" documentId="13_ncr:1_{7A9E1EAF-5427-4650-9878-B53F36B80E59}" xr6:coauthVersionLast="47" xr6:coauthVersionMax="47" xr10:uidLastSave="{00000000-0000-0000-0000-000000000000}"/>
  <bookViews>
    <workbookView xWindow="-108" yWindow="-108" windowWidth="23256" windowHeight="13176" activeTab="1" xr2:uid="{74D3D57B-FAE8-45A6-AD25-DA4D42E998AB}"/>
  </bookViews>
  <sheets>
    <sheet name="Raw_Data" sheetId="1" r:id="rId1"/>
    <sheet name="Analysis" sheetId="2" r:id="rId2"/>
    <sheet name="Dashboar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0" i="2" l="1"/>
  <c r="E40" i="2"/>
  <c r="D40" i="2"/>
  <c r="E39" i="2"/>
  <c r="D39" i="2"/>
  <c r="E38" i="2"/>
  <c r="D38" i="2"/>
  <c r="E37" i="2"/>
  <c r="D37" i="2"/>
  <c r="C39" i="2"/>
  <c r="C38" i="2"/>
  <c r="C37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19" i="2"/>
  <c r="E18" i="2"/>
  <c r="D18" i="2"/>
  <c r="C18" i="2"/>
  <c r="E17" i="1"/>
  <c r="C11" i="2"/>
  <c r="D12" i="2"/>
  <c r="D11" i="2"/>
  <c r="C12" i="2"/>
  <c r="C13" i="2"/>
  <c r="D13" i="2"/>
  <c r="D15" i="2"/>
  <c r="C15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<sst xmlns="http://schemas.openxmlformats.org/spreadsheetml/2006/main" count="74" uniqueCount="56">
  <si>
    <t>.</t>
  </si>
  <si>
    <t>Total Revenue</t>
  </si>
  <si>
    <t>Payments Revenue</t>
  </si>
  <si>
    <t>Marketplace Revenue</t>
  </si>
  <si>
    <t>Fintech Revenue</t>
  </si>
  <si>
    <t>Consolidated Net Income</t>
  </si>
  <si>
    <t>Payments TPV</t>
  </si>
  <si>
    <t>Marketplace GMV</t>
  </si>
  <si>
    <t>Fintech TFV</t>
  </si>
  <si>
    <t>Payments Active Consumers</t>
  </si>
  <si>
    <t>Marketplace Active Consumers</t>
  </si>
  <si>
    <t>Fintech Consumers (Loans)</t>
  </si>
  <si>
    <t>Metric</t>
  </si>
  <si>
    <t>Unit</t>
  </si>
  <si>
    <t>KZT million</t>
  </si>
  <si>
    <t>million users</t>
  </si>
  <si>
    <t>YoY Growth</t>
  </si>
  <si>
    <t>Net Income</t>
  </si>
  <si>
    <t>Revenue Mix</t>
  </si>
  <si>
    <t>Net Margin</t>
  </si>
  <si>
    <t>Payments</t>
  </si>
  <si>
    <t>Marketplace</t>
  </si>
  <si>
    <t>Fintech</t>
  </si>
  <si>
    <t>Hepsiburada Marketplace Revenue</t>
  </si>
  <si>
    <t>Cost of Goods &amp; Services (COGS)</t>
  </si>
  <si>
    <t>Marketplace Bridge</t>
  </si>
  <si>
    <t>Marketplace Revenue (KZ Organic)</t>
  </si>
  <si>
    <t>Share of Growth from Hepsiburada</t>
  </si>
  <si>
    <t>Kazakhstan Standalone</t>
  </si>
  <si>
    <t>Payments Take Rate</t>
  </si>
  <si>
    <t>Marketplace Monetization</t>
  </si>
  <si>
    <t>GMV per Active Consumer</t>
  </si>
  <si>
    <t>YoY</t>
  </si>
  <si>
    <t>Fintech TFV Yield</t>
  </si>
  <si>
    <t>Payments ARPU</t>
  </si>
  <si>
    <t>Marketplace Organic ARPU</t>
  </si>
  <si>
    <t>Fintech ARPU</t>
  </si>
  <si>
    <t>Payments TPV Growth</t>
  </si>
  <si>
    <t>Marketplace GMV Growth</t>
  </si>
  <si>
    <t>Fintech TFV Growth</t>
  </si>
  <si>
    <t>2026E Scenario Analysis (KZ)</t>
  </si>
  <si>
    <t>2026E Payments Revenue</t>
  </si>
  <si>
    <t>2026E Marketplace Rev (KZ)</t>
  </si>
  <si>
    <t>2026E Fintech Revenue</t>
  </si>
  <si>
    <t>Total 2026E KZ Revenue</t>
  </si>
  <si>
    <t>Category</t>
  </si>
  <si>
    <t>2024 Marketplace</t>
  </si>
  <si>
    <t>2025 KZ Organic</t>
  </si>
  <si>
    <t>Hepsiburada / Türkiye</t>
  </si>
  <si>
    <t>2025 Marketplace</t>
  </si>
  <si>
    <t>Year</t>
  </si>
  <si>
    <t>Net Margin (%)</t>
  </si>
  <si>
    <t>Revenue (Billion)</t>
  </si>
  <si>
    <t>Bear Case</t>
  </si>
  <si>
    <t>Base Case</t>
  </si>
  <si>
    <t>Bull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</si>
</sst>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6" x14ac:knownFonts="1">
    <font>
      <sz val="14"/>
      <color theme="1"/>
      <name val="Inter Tight"/>
      <family val="2"/>
    </font>
    <font>
      <b/>
      <sz val="14"/>
      <color theme="1"/>
      <name val="Inter Tight"/>
      <family val="2"/>
    </font>
    <font>
      <b/>
      <sz val="14"/>
      <color theme="1"/>
      <name val="Inter Tight"/>
      <charset val="204"/>
    </font>
    <font>
      <sz val="14"/>
      <color theme="1"/>
      <name val="Inter Tight"/>
      <family val="2"/>
    </font>
    <font>
      <b/>
      <sz val="14"/>
      <color theme="0"/>
      <name val="Inter Tight"/>
      <charset val="204"/>
    </font>
    <font>
      <sz val="14"/>
      <color theme="0"/>
      <name val="Inter Tight Medium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/>
    <xf numFmtId="10" fontId="0" fillId="0" borderId="0" xfId="0" applyNumberFormat="1"/>
    <xf numFmtId="165" fontId="0" fillId="0" borderId="0" xfId="1" applyNumberFormat="1" applyFont="1"/>
    <xf numFmtId="0" fontId="2" fillId="0" borderId="1" xfId="0" applyFont="1" applyBorder="1" applyAlignment="1">
      <alignment horizontal="right"/>
    </xf>
    <xf numFmtId="0" fontId="4" fillId="2" borderId="0" xfId="0" applyFont="1" applyFill="1"/>
    <xf numFmtId="165" fontId="0" fillId="0" borderId="3" xfId="1" applyNumberFormat="1" applyFont="1" applyBorder="1" applyAlignment="1">
      <alignment horizontal="right"/>
    </xf>
    <xf numFmtId="165" fontId="0" fillId="0" borderId="0" xfId="1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0" fontId="2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164" fontId="0" fillId="0" borderId="0" xfId="1" applyNumberFormat="1" applyFont="1"/>
    <xf numFmtId="0" fontId="2" fillId="0" borderId="0" xfId="0" applyFont="1" applyAlignment="1">
      <alignment horizontal="right"/>
    </xf>
    <xf numFmtId="0" fontId="5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BA1616"/>
      <color rgb="FFE319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Inter Tight SemiBold" pitchFamily="2" charset="0"/>
                <a:ea typeface="Inter Tight SemiBold" pitchFamily="2" charset="0"/>
                <a:cs typeface="Inter Tight SemiBold" pitchFamily="2" charset="0"/>
              </a:defRPr>
            </a:pPr>
            <a:r>
              <a:rPr lang="en-US" sz="1200" b="0" i="0" u="none" strike="noStrike" baseline="0">
                <a:solidFill>
                  <a:schemeClr val="tx1"/>
                </a:solidFill>
                <a:latin typeface="Inter Tight SemiBold" pitchFamily="2" charset="0"/>
                <a:ea typeface="Inter Tight SemiBold" pitchFamily="2" charset="0"/>
                <a:cs typeface="Inter Tight SemiBold" pitchFamily="2" charset="0"/>
              </a:rPr>
              <a:t>Hepsiburada Acquisition Drove 83% of </a:t>
            </a:r>
            <a:br>
              <a:rPr lang="ru-RU" sz="1200" b="0" i="0" u="none" strike="noStrike" baseline="0">
                <a:solidFill>
                  <a:schemeClr val="tx1"/>
                </a:solidFill>
                <a:latin typeface="Inter Tight SemiBold" pitchFamily="2" charset="0"/>
                <a:ea typeface="Inter Tight SemiBold" pitchFamily="2" charset="0"/>
                <a:cs typeface="Inter Tight SemiBold" pitchFamily="2" charset="0"/>
              </a:rPr>
            </a:br>
            <a:r>
              <a:rPr lang="en-US" sz="1200" b="0" i="0" u="none" strike="noStrike" baseline="0">
                <a:solidFill>
                  <a:schemeClr val="tx1"/>
                </a:solidFill>
                <a:latin typeface="Inter Tight SemiBold" pitchFamily="2" charset="0"/>
                <a:ea typeface="Inter Tight SemiBold" pitchFamily="2" charset="0"/>
                <a:cs typeface="Inter Tight SemiBold" pitchFamily="2" charset="0"/>
              </a:rPr>
              <a:t>Marketplace Revenue Growth in 2025</a:t>
            </a:r>
            <a:endParaRPr lang="en-US" sz="1200">
              <a:solidFill>
                <a:schemeClr val="tx1"/>
              </a:solidFill>
              <a:latin typeface="Inter Tight SemiBold" pitchFamily="2" charset="0"/>
              <a:ea typeface="Inter Tight SemiBold" pitchFamily="2" charset="0"/>
              <a:cs typeface="Inter Tight SemiBold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Inter Tight SemiBold" pitchFamily="2" charset="0"/>
              <a:ea typeface="Inter Tight SemiBold" pitchFamily="2" charset="0"/>
              <a:cs typeface="Inter Tight SemiBold" pitchFamily="2" charset="0"/>
            </a:defRPr>
          </a:pPr>
          <a:endParaRPr lang="ru-K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Analysis!$J$30</c:f>
              <c:strCache>
                <c:ptCount val="1"/>
                <c:pt idx="0">
                  <c:v>2025 KZ Organic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Inter Tight SemiBold" pitchFamily="2" charset="0"/>
                    <a:ea typeface="Inter Tight SemiBold" pitchFamily="2" charset="0"/>
                    <a:cs typeface="Inter Tight SemiBold" pitchFamily="2" charset="0"/>
                  </a:defRPr>
                </a:pPr>
                <a:endParaRPr lang="ru-K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Analysis!$I$31:$I$32</c:f>
              <c:strCache>
                <c:ptCount val="2"/>
                <c:pt idx="0">
                  <c:v>2024 Marketplace</c:v>
                </c:pt>
                <c:pt idx="1">
                  <c:v>2025 Marketplace</c:v>
                </c:pt>
              </c:strCache>
            </c:strRef>
          </c:cat>
          <c:val>
            <c:numRef>
              <c:f>Analysis!$J$31:$J$32</c:f>
              <c:numCache>
                <c:formatCode>General</c:formatCode>
                <c:ptCount val="2"/>
                <c:pt idx="0">
                  <c:v>732943</c:v>
                </c:pt>
                <c:pt idx="1">
                  <c:v>936118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B-4D3D-8D33-4FC5812B0C2B}"/>
            </c:ext>
          </c:extLst>
        </c:ser>
        <c:ser>
          <c:idx val="1"/>
          <c:order val="1"/>
          <c:tx>
            <c:strRef>
              <c:f>Analysis!$K$30</c:f>
              <c:strCache>
                <c:ptCount val="1"/>
                <c:pt idx="0">
                  <c:v>Hepsiburada / Türkiye</c:v>
                </c:pt>
              </c:strCache>
            </c:strRef>
          </c:tx>
          <c:spPr>
            <a:solidFill>
              <a:srgbClr val="E31937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BB-4D3D-8D33-4FC5812B0C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Inter Tight SemiBold" pitchFamily="2" charset="0"/>
                    <a:ea typeface="Inter Tight SemiBold" pitchFamily="2" charset="0"/>
                    <a:cs typeface="Inter Tight SemiBold" pitchFamily="2" charset="0"/>
                  </a:defRPr>
                </a:pPr>
                <a:endParaRPr lang="ru-K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Analysis!$I$31:$I$32</c:f>
              <c:strCache>
                <c:ptCount val="2"/>
                <c:pt idx="0">
                  <c:v>2024 Marketplace</c:v>
                </c:pt>
                <c:pt idx="1">
                  <c:v>2025 Marketplace</c:v>
                </c:pt>
              </c:strCache>
            </c:strRef>
          </c:cat>
          <c:val>
            <c:numRef>
              <c:f>Analysis!$K$31:$K$32</c:f>
              <c:numCache>
                <c:formatCode>General</c:formatCode>
                <c:ptCount val="2"/>
                <c:pt idx="0">
                  <c:v>0</c:v>
                </c:pt>
                <c:pt idx="1">
                  <c:v>995354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B-4D3D-8D33-4FC5812B0C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9261519"/>
        <c:axId val="89263183"/>
      </c:barChart>
      <c:catAx>
        <c:axId val="8926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nter Tight" pitchFamily="2" charset="0"/>
                <a:ea typeface="Inter Tight" pitchFamily="2" charset="0"/>
                <a:cs typeface="Inter Tight" pitchFamily="2" charset="0"/>
              </a:defRPr>
            </a:pPr>
            <a:endParaRPr lang="ru-KZ"/>
          </a:p>
        </c:txPr>
        <c:crossAx val="89263183"/>
        <c:crosses val="autoZero"/>
        <c:auto val="1"/>
        <c:lblAlgn val="ctr"/>
        <c:lblOffset val="100"/>
        <c:noMultiLvlLbl val="0"/>
      </c:catAx>
      <c:valAx>
        <c:axId val="8926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nter Tight" pitchFamily="2" charset="0"/>
                <a:ea typeface="Inter Tight" pitchFamily="2" charset="0"/>
                <a:cs typeface="Inter Tight" pitchFamily="2" charset="0"/>
              </a:defRPr>
            </a:pPr>
            <a:endParaRPr lang="ru-KZ"/>
          </a:p>
        </c:txPr>
        <c:crossAx val="8926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Inter Tight" pitchFamily="2" charset="0"/>
                <a:ea typeface="Inter Tight" pitchFamily="2" charset="0"/>
                <a:cs typeface="Inter Tight" pitchFamily="2" charset="0"/>
              </a:defRPr>
            </a:pPr>
            <a:r>
              <a:rPr lang="en-US" sz="1200">
                <a:solidFill>
                  <a:schemeClr val="tx1"/>
                </a:solidFill>
                <a:latin typeface="Inter Tight SemiBold" pitchFamily="2" charset="0"/>
                <a:ea typeface="Inter Tight SemiBold" pitchFamily="2" charset="0"/>
                <a:cs typeface="Inter Tight SemiBold" pitchFamily="2" charset="0"/>
              </a:rPr>
              <a:t>2026E KZ Ecosystem Revenue Resilience </a:t>
            </a:r>
            <a:br>
              <a:rPr lang="ru-RU" sz="1200">
                <a:solidFill>
                  <a:schemeClr val="tx1"/>
                </a:solidFill>
                <a:latin typeface="Inter Tight SemiBold" pitchFamily="2" charset="0"/>
                <a:ea typeface="Inter Tight SemiBold" pitchFamily="2" charset="0"/>
                <a:cs typeface="Inter Tight SemiBold" pitchFamily="2" charset="0"/>
              </a:rPr>
            </a:br>
            <a:r>
              <a:rPr lang="en-US" sz="1200">
                <a:solidFill>
                  <a:schemeClr val="tx1"/>
                </a:solidFill>
                <a:latin typeface="Inter Tight SemiBold" pitchFamily="2" charset="0"/>
                <a:ea typeface="Inter Tight SemiBold" pitchFamily="2" charset="0"/>
                <a:cs typeface="Inter Tight SemiBold" pitchFamily="2" charset="0"/>
              </a:rPr>
              <a:t>Across Bear, Base, and Bull Scenarios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Inter Tight" pitchFamily="2" charset="0"/>
              <a:ea typeface="Inter Tight" pitchFamily="2" charset="0"/>
              <a:cs typeface="Inter Tight" pitchFamily="2" charset="0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Analysis!$B$40</c:f>
              <c:strCache>
                <c:ptCount val="1"/>
                <c:pt idx="0">
                  <c:v>Total 2026E KZ Revenue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E3193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CB-4CFD-9961-C7CB9FD339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nter Tight" pitchFamily="2" charset="0"/>
                    <a:ea typeface="Inter Tight" pitchFamily="2" charset="0"/>
                    <a:cs typeface="Inter Tight" pitchFamily="2" charset="0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Analysis!$C$30:$E$30</c:f>
              <c:strCache>
                <c:ptCount val="3"/>
                <c:pt idx="0">
                  <c:v>Bear Case</c:v>
                </c:pt>
                <c:pt idx="1">
                  <c:v>Base Case</c:v>
                </c:pt>
                <c:pt idx="2">
                  <c:v>Bull Case</c:v>
                </c:pt>
              </c:strCache>
            </c:strRef>
          </c:cat>
          <c:val>
            <c:numRef>
              <c:f>Analysis!$C$40:$E$40</c:f>
              <c:numCache>
                <c:formatCode>_(* #,##0_);_(* \(#,##0\);_(* "-"??_);_(@_)</c:formatCode>
                <c:ptCount val="3"/>
                <c:pt idx="0">
                  <c:v>3286656.1300000004</c:v>
                </c:pt>
                <c:pt idx="1">
                  <c:v>3576801.6849999996</c:v>
                </c:pt>
                <c:pt idx="2">
                  <c:v>3894032.8200000003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CB-4CFD-9961-C7CB9FD339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5199167"/>
        <c:axId val="215201663"/>
      </c:barChart>
      <c:catAx>
        <c:axId val="215199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nter Tight" pitchFamily="2" charset="0"/>
                <a:ea typeface="Inter Tight" pitchFamily="2" charset="0"/>
                <a:cs typeface="Inter Tight" pitchFamily="2" charset="0"/>
              </a:defRPr>
            </a:pPr>
            <a:endParaRPr lang="ru-KZ"/>
          </a:p>
        </c:txPr>
        <c:crossAx val="215201663"/>
        <c:crosses val="autoZero"/>
        <c:auto val="1"/>
        <c:lblAlgn val="ctr"/>
        <c:lblOffset val="100"/>
        <c:noMultiLvlLbl val="0"/>
      </c:catAx>
      <c:valAx>
        <c:axId val="215201663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nter Tight" pitchFamily="2" charset="0"/>
                <a:ea typeface="Inter Tight" pitchFamily="2" charset="0"/>
                <a:cs typeface="Inter Tight" pitchFamily="2" charset="0"/>
              </a:defRPr>
            </a:pPr>
            <a:endParaRPr lang="ru-KZ"/>
          </a:p>
        </c:txPr>
        <c:crossAx val="21519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Inter Tight" pitchFamily="2" charset="0"/>
          <a:ea typeface="Inter Tight" pitchFamily="2" charset="0"/>
          <a:cs typeface="Inter Tight" pitchFamily="2" charset="0"/>
        </a:defRPr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Inter Tight" pitchFamily="2" charset="0"/>
                <a:ea typeface="Inter Tight" pitchFamily="2" charset="0"/>
                <a:cs typeface="Inter Tight" pitchFamily="2" charset="0"/>
              </a:defRPr>
            </a:pPr>
            <a:r>
              <a:rPr lang="en-US" sz="1200">
                <a:solidFill>
                  <a:schemeClr val="tx1"/>
                </a:solidFill>
                <a:latin typeface="Inter Tight SemiBold" pitchFamily="2" charset="0"/>
                <a:ea typeface="Inter Tight SemiBold" pitchFamily="2" charset="0"/>
                <a:cs typeface="Inter Tight SemiBold" pitchFamily="2" charset="0"/>
              </a:rPr>
              <a:t>Top-Line Expansion vs. Net Margin Compression </a:t>
            </a:r>
            <a:br>
              <a:rPr lang="ru-RU" sz="1200">
                <a:solidFill>
                  <a:schemeClr val="tx1"/>
                </a:solidFill>
                <a:latin typeface="Inter Tight SemiBold" pitchFamily="2" charset="0"/>
                <a:ea typeface="Inter Tight SemiBold" pitchFamily="2" charset="0"/>
                <a:cs typeface="Inter Tight SemiBold" pitchFamily="2" charset="0"/>
              </a:rPr>
            </a:br>
            <a:r>
              <a:rPr lang="en-US" sz="1200">
                <a:solidFill>
                  <a:schemeClr val="tx1"/>
                </a:solidFill>
                <a:latin typeface="Inter Tight SemiBold" pitchFamily="2" charset="0"/>
                <a:ea typeface="Inter Tight SemiBold" pitchFamily="2" charset="0"/>
                <a:cs typeface="Inter Tight SemiBold" pitchFamily="2" charset="0"/>
              </a:rPr>
              <a:t>(The Cost of Transitioning to 1P Retail)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Inter Tight" pitchFamily="2" charset="0"/>
              <a:ea typeface="Inter Tight" pitchFamily="2" charset="0"/>
              <a:cs typeface="Inter Tight" pitchFamily="2" charset="0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Analysis!$J$34</c:f>
              <c:strCache>
                <c:ptCount val="1"/>
                <c:pt idx="0">
                  <c:v>Revenue (Billion)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Inter Tight SemiBold" pitchFamily="2" charset="0"/>
                    <a:ea typeface="Inter Tight SemiBold" pitchFamily="2" charset="0"/>
                    <a:cs typeface="Inter Tight SemiBold" pitchFamily="2" charset="0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Analysis!$I$35:$I$36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Analysis!$J$35:$J$36</c:f>
              <c:numCache>
                <c:formatCode>_(* #,##0_);_(* \(#,##0\);_(* "-"??_);_(@_)</c:formatCode>
                <c:ptCount val="2"/>
                <c:pt idx="0">
                  <c:v>2532156</c:v>
                </c:pt>
                <c:pt idx="1">
                  <c:v>4046074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1-42C5-B740-244FC4B5B51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5252911"/>
        <c:axId val="215253743"/>
      </c:barChart>
      <c:lineChart>
        <c:grouping val="standard"/>
        <c:varyColors val="0"/>
        <c:ser>
          <c:idx val="2"/>
          <c:order val="1"/>
          <c:tx>
            <c:strRef>
              <c:f>Analysis!$K$34</c:f>
              <c:strCache>
                <c:ptCount val="1"/>
                <c:pt idx="0">
                  <c:v>Net Margin (%)</c:v>
                </c:pt>
              </c:strCache>
            </c:strRef>
          </c:tx>
          <c:spPr>
            <a:ln w="28575" cap="rnd">
              <a:solidFill>
                <a:srgbClr val="E31937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BA1616"/>
              </a:solidFill>
              <a:ln w="9525">
                <a:noFill/>
              </a:ln>
              <a:effectLst/>
            </c:spPr>
          </c:marker>
          <c:dLbls>
            <c:spPr>
              <a:solidFill>
                <a:srgbClr val="E31937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Inter Tight SemiBold" pitchFamily="2" charset="0"/>
                    <a:ea typeface="Inter Tight SemiBold" pitchFamily="2" charset="0"/>
                    <a:cs typeface="Inter Tight SemiBold" pitchFamily="2" charset="0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Analysis!$I$35:$I$36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Analysis!$K$35:$K$36</c:f>
              <c:numCache>
                <c:formatCode>0.0%</c:formatCode>
                <c:ptCount val="2"/>
                <c:pt idx="0">
                  <c:v>0.41699999999999998</c:v>
                </c:pt>
                <c:pt idx="1">
                  <c:v>0.26400000000000001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71-42C5-B740-244FC4B5B5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513215"/>
        <c:axId val="86518623"/>
      </c:lineChart>
      <c:catAx>
        <c:axId val="21525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nter Tight" pitchFamily="2" charset="0"/>
                <a:ea typeface="Inter Tight" pitchFamily="2" charset="0"/>
                <a:cs typeface="Inter Tight" pitchFamily="2" charset="0"/>
              </a:defRPr>
            </a:pPr>
            <a:endParaRPr lang="ru-KZ"/>
          </a:p>
        </c:txPr>
        <c:crossAx val="215253743"/>
        <c:crosses val="autoZero"/>
        <c:auto val="1"/>
        <c:lblAlgn val="ctr"/>
        <c:lblOffset val="100"/>
        <c:noMultiLvlLbl val="0"/>
      </c:catAx>
      <c:valAx>
        <c:axId val="21525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nter Tight" pitchFamily="2" charset="0"/>
                <a:ea typeface="Inter Tight" pitchFamily="2" charset="0"/>
                <a:cs typeface="Inter Tight" pitchFamily="2" charset="0"/>
              </a:defRPr>
            </a:pPr>
            <a:endParaRPr lang="ru-KZ"/>
          </a:p>
        </c:txPr>
        <c:crossAx val="215252911"/>
        <c:crosses val="autoZero"/>
        <c:crossBetween val="between"/>
      </c:valAx>
      <c:valAx>
        <c:axId val="86518623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nter Tight" pitchFamily="2" charset="0"/>
                <a:ea typeface="Inter Tight" pitchFamily="2" charset="0"/>
                <a:cs typeface="Inter Tight" pitchFamily="2" charset="0"/>
              </a:defRPr>
            </a:pPr>
            <a:endParaRPr lang="ru-KZ"/>
          </a:p>
        </c:txPr>
        <c:crossAx val="86513215"/>
        <c:crosses val="max"/>
        <c:crossBetween val="between"/>
      </c:valAx>
      <c:catAx>
        <c:axId val="865132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5186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Inter Tight" pitchFamily="2" charset="0"/>
              <a:ea typeface="Inter Tight" pitchFamily="2" charset="0"/>
              <a:cs typeface="Inter Tight" pitchFamily="2" charset="0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Inter Tight" pitchFamily="2" charset="0"/>
          <a:ea typeface="Inter Tight" pitchFamily="2" charset="0"/>
          <a:cs typeface="Inter Tight" pitchFamily="2" charset="0"/>
        </a:defRPr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190500</xdr:rowOff>
    </xdr:from>
    <xdr:to>
      <xdr:col>6</xdr:col>
      <xdr:colOff>25400</xdr:colOff>
      <xdr:row>12</xdr:row>
      <xdr:rowOff>198120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4EC167-4CEA-4BCF-A625-1E4BB7242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441960</xdr:colOff>
      <xdr:row>1</xdr:row>
      <xdr:rowOff>190500</xdr:rowOff>
    </xdr:from>
    <xdr:to>
      <xdr:col>11</xdr:col>
      <xdr:colOff>480060</xdr:colOff>
      <xdr:row>12</xdr:row>
      <xdr:rowOff>205740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7BEE38-3E09-4B5F-93BE-5DB071F61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967740</xdr:colOff>
      <xdr:row>1</xdr:row>
      <xdr:rowOff>160020</xdr:rowOff>
    </xdr:from>
    <xdr:to>
      <xdr:col>17</xdr:col>
      <xdr:colOff>162709</xdr:colOff>
      <xdr:row>12</xdr:row>
      <xdr:rowOff>254597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7028CD-0CAC-4B8F-B302-047293FD3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8866-A1AE-4376-A066-EACDBAE1C6EE}">
  <dimension ref="A1:E18"/>
  <sheetViews>
    <sheetView showGridLines="0" zoomScale="81" workbookViewId="0">
      <selection activeCell="D17" sqref="D17"/>
    </sheetView>
  </sheetViews>
  <sheetFormatPr defaultRowHeight="21" x14ac:dyDescent="0.5"/>
  <cols>
    <col min="1" max="1" width="3.640625" customWidth="1"/>
    <col min="2" max="2" width="26.5" customWidth="1"/>
    <col min="3" max="3" width="9.0703125" customWidth="1"/>
    <col min="4" max="5" width="12.140625" customWidth="1"/>
  </cols>
  <sheetData>
    <row r="1" spans="1:5" x14ac:dyDescent="0.5">
      <c r="A1" t="s">
        <v>0</v>
      </c>
    </row>
    <row r="2" spans="1:5" ht="29.4" customHeight="1" thickBot="1" x14ac:dyDescent="0.55000000000000004">
      <c r="B2" s="14" t="s">
        <v>12</v>
      </c>
      <c r="C2" s="14" t="s">
        <v>13</v>
      </c>
      <c r="D2" s="14">
        <v>2024</v>
      </c>
      <c r="E2" s="14">
        <v>2025</v>
      </c>
    </row>
    <row r="3" spans="1:5" x14ac:dyDescent="0.5">
      <c r="B3" s="3" t="s">
        <v>1</v>
      </c>
      <c r="C3" s="2" t="s">
        <v>14</v>
      </c>
      <c r="D3" s="4">
        <v>2532156</v>
      </c>
      <c r="E3" s="4">
        <v>4046074</v>
      </c>
    </row>
    <row r="4" spans="1:5" ht="21" customHeight="1" x14ac:dyDescent="0.5">
      <c r="B4" s="13" t="s">
        <v>2</v>
      </c>
      <c r="C4" s="2" t="s">
        <v>14</v>
      </c>
      <c r="D4" s="4">
        <v>587097</v>
      </c>
      <c r="E4" s="4">
        <v>658726</v>
      </c>
    </row>
    <row r="5" spans="1:5" ht="21" customHeight="1" x14ac:dyDescent="0.5">
      <c r="B5" s="13" t="s">
        <v>3</v>
      </c>
      <c r="C5" s="2" t="s">
        <v>14</v>
      </c>
      <c r="D5" s="4">
        <v>732943</v>
      </c>
      <c r="E5" s="4">
        <v>1931472</v>
      </c>
    </row>
    <row r="6" spans="1:5" ht="21" customHeight="1" x14ac:dyDescent="0.5">
      <c r="B6" s="13" t="s">
        <v>4</v>
      </c>
      <c r="C6" s="2" t="s">
        <v>14</v>
      </c>
      <c r="D6" s="4">
        <v>1281827</v>
      </c>
      <c r="E6" s="4">
        <v>1542934</v>
      </c>
    </row>
    <row r="7" spans="1:5" x14ac:dyDescent="0.5">
      <c r="B7" s="3" t="s">
        <v>5</v>
      </c>
      <c r="C7" s="2" t="s">
        <v>14</v>
      </c>
      <c r="D7" s="4">
        <v>1056834</v>
      </c>
      <c r="E7" s="4">
        <v>1067707</v>
      </c>
    </row>
    <row r="9" spans="1:5" x14ac:dyDescent="0.5">
      <c r="B9" s="2" t="s">
        <v>6</v>
      </c>
      <c r="C9" s="2" t="s">
        <v>14</v>
      </c>
      <c r="D9" s="4">
        <v>37229000</v>
      </c>
      <c r="E9" s="4">
        <v>44219000</v>
      </c>
    </row>
    <row r="10" spans="1:5" x14ac:dyDescent="0.5">
      <c r="B10" s="2" t="s">
        <v>7</v>
      </c>
      <c r="C10" s="2" t="s">
        <v>14</v>
      </c>
      <c r="D10" s="4">
        <v>5975000</v>
      </c>
      <c r="E10" s="4">
        <v>6657000</v>
      </c>
    </row>
    <row r="11" spans="1:5" ht="21" customHeight="1" x14ac:dyDescent="0.5">
      <c r="B11" s="2" t="s">
        <v>8</v>
      </c>
      <c r="C11" s="2" t="s">
        <v>14</v>
      </c>
      <c r="D11" s="4">
        <v>10305000</v>
      </c>
      <c r="E11" s="4">
        <v>11652000</v>
      </c>
    </row>
    <row r="12" spans="1:5" ht="21" customHeight="1" x14ac:dyDescent="0.5"/>
    <row r="13" spans="1:5" ht="21" customHeight="1" x14ac:dyDescent="0.5">
      <c r="B13" s="2" t="s">
        <v>9</v>
      </c>
      <c r="C13" s="2" t="s">
        <v>15</v>
      </c>
      <c r="D13" s="1">
        <v>13.6</v>
      </c>
      <c r="E13" s="1">
        <v>14.6</v>
      </c>
    </row>
    <row r="14" spans="1:5" ht="21" customHeight="1" x14ac:dyDescent="0.5">
      <c r="B14" s="2" t="s">
        <v>10</v>
      </c>
      <c r="C14" s="2" t="s">
        <v>15</v>
      </c>
      <c r="D14" s="1">
        <v>8.1</v>
      </c>
      <c r="E14" s="1">
        <v>8.8000000000000007</v>
      </c>
    </row>
    <row r="15" spans="1:5" ht="21" customHeight="1" x14ac:dyDescent="0.5">
      <c r="B15" s="2" t="s">
        <v>11</v>
      </c>
      <c r="C15" s="2" t="s">
        <v>15</v>
      </c>
      <c r="D15" s="1">
        <v>6.4</v>
      </c>
      <c r="E15" s="1">
        <v>6.3</v>
      </c>
    </row>
    <row r="16" spans="1:5" ht="21" customHeight="1" x14ac:dyDescent="0.5"/>
    <row r="17" spans="2:5" x14ac:dyDescent="0.5">
      <c r="B17" t="s">
        <v>23</v>
      </c>
      <c r="C17" t="s">
        <v>14</v>
      </c>
      <c r="D17" s="1">
        <v>0</v>
      </c>
      <c r="E17" s="18">
        <f>302921+638164+54269</f>
        <v>995354</v>
      </c>
    </row>
    <row r="18" spans="2:5" x14ac:dyDescent="0.5">
      <c r="B18" t="s">
        <v>24</v>
      </c>
      <c r="C18" t="s">
        <v>14</v>
      </c>
      <c r="D18" s="18">
        <v>303858</v>
      </c>
      <c r="E18" s="18">
        <v>1179141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785C-78F9-4626-9FC5-2C19389EC9FB}">
  <dimension ref="B2:K40"/>
  <sheetViews>
    <sheetView showGridLines="0" tabSelected="1" topLeftCell="A19" zoomScale="85" zoomScaleNormal="85" workbookViewId="0">
      <selection activeCell="G24" sqref="G24"/>
    </sheetView>
  </sheetViews>
  <sheetFormatPr defaultRowHeight="21" x14ac:dyDescent="0.5"/>
  <cols>
    <col min="1" max="1" width="3.640625" customWidth="1"/>
    <col min="2" max="2" width="26.85546875" customWidth="1"/>
    <col min="3" max="3" width="10.85546875" bestFit="1" customWidth="1"/>
    <col min="4" max="4" width="11.7109375" bestFit="1" customWidth="1"/>
    <col min="5" max="5" width="10.2109375" customWidth="1"/>
    <col min="6" max="6" width="9.140625" customWidth="1"/>
    <col min="9" max="9" width="15.2109375" customWidth="1"/>
    <col min="10" max="10" width="14.640625" customWidth="1"/>
    <col min="11" max="11" width="17.0703125" customWidth="1"/>
  </cols>
  <sheetData>
    <row r="2" spans="2:5" ht="21.6" thickBot="1" x14ac:dyDescent="0.55000000000000004">
      <c r="C2" s="9">
        <v>2024</v>
      </c>
      <c r="D2" s="9">
        <v>2025</v>
      </c>
      <c r="E2" s="19" t="s">
        <v>32</v>
      </c>
    </row>
    <row r="3" spans="2:5" x14ac:dyDescent="0.5">
      <c r="B3" s="7" t="s">
        <v>16</v>
      </c>
    </row>
    <row r="4" spans="2:5" x14ac:dyDescent="0.5">
      <c r="B4" t="s">
        <v>1</v>
      </c>
      <c r="D4" s="5">
        <f>(Raw_Data!E3 / Raw_Data!D3) - 1</f>
        <v>0.59787706602594781</v>
      </c>
    </row>
    <row r="5" spans="2:5" x14ac:dyDescent="0.5">
      <c r="B5" s="12" t="s">
        <v>2</v>
      </c>
      <c r="D5" s="5">
        <f>(Raw_Data!E4 / Raw_Data!D4) - 1</f>
        <v>0.12200539263528865</v>
      </c>
    </row>
    <row r="6" spans="2:5" x14ac:dyDescent="0.5">
      <c r="B6" s="12" t="s">
        <v>3</v>
      </c>
      <c r="D6" s="5">
        <f>(Raw_Data!E5 / Raw_Data!D5) - 1</f>
        <v>1.635228114600999</v>
      </c>
    </row>
    <row r="7" spans="2:5" x14ac:dyDescent="0.5">
      <c r="B7" s="12" t="s">
        <v>4</v>
      </c>
      <c r="D7" s="5">
        <f>(Raw_Data!E6 / Raw_Data!D6) - 1</f>
        <v>0.20369909511970019</v>
      </c>
    </row>
    <row r="8" spans="2:5" x14ac:dyDescent="0.5">
      <c r="B8" s="10" t="s">
        <v>17</v>
      </c>
      <c r="C8" s="10"/>
      <c r="D8" s="11">
        <f>(Raw_Data!E7 / Raw_Data!D7) - 1</f>
        <v>1.0288276115264949E-2</v>
      </c>
    </row>
    <row r="10" spans="2:5" x14ac:dyDescent="0.5">
      <c r="B10" s="7" t="s">
        <v>18</v>
      </c>
    </row>
    <row r="11" spans="2:5" x14ac:dyDescent="0.5">
      <c r="B11" t="s">
        <v>20</v>
      </c>
      <c r="C11" s="5">
        <f>Raw_Data!D4 / SUM(Raw_Data!D$4:D$6)</f>
        <v>0.22564450834727526</v>
      </c>
      <c r="D11" s="5">
        <f>Raw_Data!E4 / SUM(Raw_Data!E$4:E$6)</f>
        <v>0.15937695674853838</v>
      </c>
    </row>
    <row r="12" spans="2:5" x14ac:dyDescent="0.5">
      <c r="B12" t="s">
        <v>21</v>
      </c>
      <c r="C12" s="5">
        <f>Raw_Data!D5 / SUM(Raw_Data!D$4:D$6)</f>
        <v>0.28169887238663621</v>
      </c>
      <c r="D12" s="5">
        <f>Raw_Data!E5 / SUM(Raw_Data!E$4:E$6)</f>
        <v>0.46731437563571643</v>
      </c>
    </row>
    <row r="13" spans="2:5" x14ac:dyDescent="0.5">
      <c r="B13" s="10" t="s">
        <v>22</v>
      </c>
      <c r="C13" s="11">
        <f>Raw_Data!D6 / SUM(Raw_Data!D$4:D$6)</f>
        <v>0.49265661926608856</v>
      </c>
      <c r="D13" s="11">
        <f>Raw_Data!E6 / SUM(Raw_Data!E$4:E$6)</f>
        <v>0.37330866761574516</v>
      </c>
    </row>
    <row r="15" spans="2:5" x14ac:dyDescent="0.5">
      <c r="B15" s="8" t="s">
        <v>19</v>
      </c>
      <c r="C15" s="6">
        <f>Raw_Data!D7 / Raw_Data!D3</f>
        <v>0.41736528081208268</v>
      </c>
      <c r="D15" s="6">
        <f>Raw_Data!E7 / Raw_Data!E3</f>
        <v>0.26388716568209086</v>
      </c>
    </row>
    <row r="17" spans="2:11" x14ac:dyDescent="0.5">
      <c r="B17" s="7" t="s">
        <v>25</v>
      </c>
    </row>
    <row r="18" spans="2:11" ht="21" customHeight="1" x14ac:dyDescent="0.5">
      <c r="B18" s="15" t="s">
        <v>26</v>
      </c>
      <c r="C18" s="16">
        <f>Raw_Data!D5</f>
        <v>732943</v>
      </c>
      <c r="D18" s="16">
        <f>Raw_Data!E5 - Raw_Data!E17</f>
        <v>936118</v>
      </c>
      <c r="E18" s="5">
        <f>(D18/C18)-1</f>
        <v>0.27720436650599023</v>
      </c>
    </row>
    <row r="19" spans="2:11" ht="21" customHeight="1" x14ac:dyDescent="0.5">
      <c r="B19" s="15" t="s">
        <v>27</v>
      </c>
      <c r="D19" s="5">
        <f>Raw_Data!E17 / (Raw_Data!E5 - Raw_Data!D5)</f>
        <v>0.83047969636112262</v>
      </c>
    </row>
    <row r="20" spans="2:11" ht="21" customHeight="1" x14ac:dyDescent="0.5"/>
    <row r="21" spans="2:11" ht="21" customHeight="1" x14ac:dyDescent="0.5">
      <c r="B21" s="7" t="s">
        <v>28</v>
      </c>
    </row>
    <row r="22" spans="2:11" x14ac:dyDescent="0.5">
      <c r="B22" s="12" t="s">
        <v>29</v>
      </c>
      <c r="C22" s="17">
        <f>Raw_Data!D4 / Raw_Data!D9</f>
        <v>1.5769883692820112E-2</v>
      </c>
      <c r="D22" s="17">
        <f>Raw_Data!E4 / Raw_Data!E9</f>
        <v>1.4896899522829552E-2</v>
      </c>
    </row>
    <row r="23" spans="2:11" x14ac:dyDescent="0.5">
      <c r="B23" s="12" t="s">
        <v>30</v>
      </c>
      <c r="C23" s="5">
        <f>Raw_Data!D5 / Raw_Data!D10</f>
        <v>0.12266828451882845</v>
      </c>
      <c r="D23" s="5">
        <f>(Raw_Data!E5 - Raw_Data!E17) / Raw_Data!E10</f>
        <v>0.14062160132191678</v>
      </c>
    </row>
    <row r="24" spans="2:11" x14ac:dyDescent="0.5">
      <c r="B24" s="12" t="s">
        <v>31</v>
      </c>
      <c r="C24" s="18">
        <f>Raw_Data!D10 / Raw_Data!D14</f>
        <v>737654.32098765438</v>
      </c>
      <c r="D24" s="18">
        <f>Raw_Data!E10 / Raw_Data!E14</f>
        <v>756477.27272727271</v>
      </c>
    </row>
    <row r="25" spans="2:11" x14ac:dyDescent="0.5">
      <c r="B25" t="s">
        <v>33</v>
      </c>
      <c r="C25" s="5">
        <f>Raw_Data!D6 / Raw_Data!D11</f>
        <v>0.12438884036875303</v>
      </c>
      <c r="D25" s="5">
        <f>Raw_Data!E6 / Raw_Data!E11</f>
        <v>0.13241795399931341</v>
      </c>
    </row>
    <row r="26" spans="2:11" x14ac:dyDescent="0.5">
      <c r="B26" t="s">
        <v>34</v>
      </c>
      <c r="C26" s="18">
        <f>Raw_Data!D4 / Raw_Data!D13</f>
        <v>43168.897058823532</v>
      </c>
      <c r="D26" s="18">
        <f>Raw_Data!E4 / Raw_Data!E13</f>
        <v>45118.219178082196</v>
      </c>
    </row>
    <row r="27" spans="2:11" x14ac:dyDescent="0.5">
      <c r="B27" t="s">
        <v>35</v>
      </c>
      <c r="C27" s="18">
        <f>C18 / Raw_Data!D14</f>
        <v>90486.790123456798</v>
      </c>
      <c r="D27" s="18">
        <f>D18 / Raw_Data!E14</f>
        <v>106377.04545454544</v>
      </c>
    </row>
    <row r="28" spans="2:11" x14ac:dyDescent="0.5">
      <c r="B28" t="s">
        <v>36</v>
      </c>
      <c r="C28" s="18">
        <f>Raw_Data!D6 / Raw_Data!D15</f>
        <v>200285.46875</v>
      </c>
      <c r="D28" s="18">
        <f>Raw_Data!E6 / Raw_Data!E15</f>
        <v>244910.15873015873</v>
      </c>
    </row>
    <row r="30" spans="2:11" x14ac:dyDescent="0.5">
      <c r="B30" s="20" t="s">
        <v>40</v>
      </c>
      <c r="C30" s="28" t="s">
        <v>53</v>
      </c>
      <c r="D30" s="28" t="s">
        <v>54</v>
      </c>
      <c r="E30" s="28" t="s">
        <v>55</v>
      </c>
      <c r="I30" s="7" t="s">
        <v>45</v>
      </c>
      <c r="J30" s="7" t="s">
        <v>47</v>
      </c>
      <c r="K30" s="7" t="s">
        <v>48</v>
      </c>
    </row>
    <row r="31" spans="2:11" x14ac:dyDescent="0.5">
      <c r="B31" s="12" t="s">
        <v>37</v>
      </c>
      <c r="C31" s="5">
        <v>0.1</v>
      </c>
      <c r="D31" s="5">
        <v>0.15</v>
      </c>
      <c r="E31" s="5">
        <v>0.2</v>
      </c>
      <c r="I31" s="7" t="s">
        <v>46</v>
      </c>
      <c r="J31">
        <v>732943</v>
      </c>
      <c r="K31">
        <v>0</v>
      </c>
    </row>
    <row r="32" spans="2:11" x14ac:dyDescent="0.5">
      <c r="B32" s="12" t="s">
        <v>29</v>
      </c>
      <c r="C32" s="17">
        <v>1.4500000000000001E-2</v>
      </c>
      <c r="D32" s="17">
        <v>1.49E-2</v>
      </c>
      <c r="E32" s="17">
        <v>1.52E-2</v>
      </c>
      <c r="I32" s="7" t="s">
        <v>49</v>
      </c>
      <c r="J32">
        <v>936118</v>
      </c>
      <c r="K32">
        <v>995354</v>
      </c>
    </row>
    <row r="33" spans="2:11" x14ac:dyDescent="0.5">
      <c r="B33" s="12" t="s">
        <v>38</v>
      </c>
      <c r="C33" s="5">
        <v>0.08</v>
      </c>
      <c r="D33" s="5">
        <v>0.12</v>
      </c>
      <c r="E33" s="5">
        <v>0.18</v>
      </c>
    </row>
    <row r="34" spans="2:11" x14ac:dyDescent="0.5">
      <c r="B34" s="12" t="s">
        <v>30</v>
      </c>
      <c r="C34" s="5">
        <v>0.13500000000000001</v>
      </c>
      <c r="D34" s="5">
        <v>0.14499999999999999</v>
      </c>
      <c r="E34" s="5">
        <v>0.155</v>
      </c>
      <c r="I34" s="7" t="s">
        <v>50</v>
      </c>
      <c r="J34" s="27" t="s">
        <v>52</v>
      </c>
      <c r="K34" s="27" t="s">
        <v>51</v>
      </c>
    </row>
    <row r="35" spans="2:11" x14ac:dyDescent="0.5">
      <c r="B35" s="12" t="s">
        <v>39</v>
      </c>
      <c r="C35" s="5">
        <v>0.08</v>
      </c>
      <c r="D35" s="5">
        <v>0.13</v>
      </c>
      <c r="E35" s="5">
        <v>0.18</v>
      </c>
      <c r="I35" s="8">
        <v>2024</v>
      </c>
      <c r="J35" s="18">
        <v>2532156</v>
      </c>
      <c r="K35" s="26">
        <v>0.41699999999999998</v>
      </c>
    </row>
    <row r="36" spans="2:11" x14ac:dyDescent="0.5">
      <c r="B36" s="12" t="s">
        <v>33</v>
      </c>
      <c r="C36" s="5">
        <v>0.128</v>
      </c>
      <c r="D36" s="5">
        <v>0.13200000000000001</v>
      </c>
      <c r="E36" s="5">
        <v>0.13600000000000001</v>
      </c>
      <c r="I36" s="8">
        <v>2025</v>
      </c>
      <c r="J36" s="18">
        <v>4046074</v>
      </c>
      <c r="K36" s="26">
        <v>0.26400000000000001</v>
      </c>
    </row>
    <row r="37" spans="2:11" x14ac:dyDescent="0.5">
      <c r="B37" s="24" t="s">
        <v>41</v>
      </c>
      <c r="C37" s="21">
        <f>Raw_Data!$E9*(1+C31)*C32</f>
        <v>705293.05000000016</v>
      </c>
      <c r="D37" s="21">
        <f>Raw_Data!$E9*(1+D31)*D32</f>
        <v>757692.56499999994</v>
      </c>
      <c r="E37" s="21">
        <f>Raw_Data!$E9*(1+E31)*E32</f>
        <v>806554.56</v>
      </c>
    </row>
    <row r="38" spans="2:11" x14ac:dyDescent="0.5">
      <c r="B38" s="8" t="s">
        <v>42</v>
      </c>
      <c r="C38" s="22">
        <f>Raw_Data!$E10*(1+C33)*C34</f>
        <v>970590.60000000021</v>
      </c>
      <c r="D38" s="22">
        <f>Raw_Data!$E10*(1+D33)*D34</f>
        <v>1081096.8</v>
      </c>
      <c r="E38" s="22">
        <f>Raw_Data!$E10*(1+E33)*E34</f>
        <v>1217565.3</v>
      </c>
    </row>
    <row r="39" spans="2:11" x14ac:dyDescent="0.5">
      <c r="B39" s="8" t="s">
        <v>43</v>
      </c>
      <c r="C39" s="22">
        <f>Raw_Data!$E11*(1+C35)*C36</f>
        <v>1610772.48</v>
      </c>
      <c r="D39" s="22">
        <f>Raw_Data!$E11*(1+D35)*D36</f>
        <v>1738012.3199999998</v>
      </c>
      <c r="E39" s="22">
        <f>Raw_Data!$E11*(1+E35)*E36</f>
        <v>1869912.9600000002</v>
      </c>
    </row>
    <row r="40" spans="2:11" x14ac:dyDescent="0.5">
      <c r="B40" s="25" t="s">
        <v>44</v>
      </c>
      <c r="C40" s="23">
        <f>SUM(C37:C39)</f>
        <v>3286656.1300000004</v>
      </c>
      <c r="D40" s="23">
        <f>SUM(D37:D39)</f>
        <v>3576801.6849999996</v>
      </c>
      <c r="E40" s="23">
        <f>SUM(E37:E39)</f>
        <v>3894032.8200000003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A5A1-EFE1-476A-AC5E-5890FC68CEB3}">
  <dimension ref="A1"/>
  <sheetViews>
    <sheetView showGridLines="0" zoomScale="85" zoomScaleNormal="85" workbookViewId="0">
      <selection activeCell="H16" sqref="H16"/>
    </sheetView>
  </sheetViews>
  <sheetFormatPr defaultRowHeight="21" x14ac:dyDescent="0.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Olzhas Mergen</dc:creator>
  <cp:lastModifiedBy>Olzhas Mergen</cp:lastModifiedBy>
  <dcterms:created xsi:type="dcterms:W3CDTF">2026-09-24T19:25:03Z</dcterms:created>
  <dcterms:modified xsi:type="dcterms:W3CDTF">2026-10-09T15:03:43Z</dcterms:modified>
</cp:coreProperties>
</file>